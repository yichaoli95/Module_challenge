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tudy\Analytic bootcamp\"/>
    </mc:Choice>
  </mc:AlternateContent>
  <xr:revisionPtr revIDLastSave="0" documentId="13_ncr:1_{4EE287C4-46C3-47A2-B524-1447BA7BFC20}" xr6:coauthVersionLast="47" xr6:coauthVersionMax="47" xr10:uidLastSave="{00000000-0000-0000-0000-000000000000}"/>
  <bookViews>
    <workbookView xWindow="6600" yWindow="630" windowWidth="21600" windowHeight="11295" tabRatio="852" firstSheet="1" activeTab="6" xr2:uid="{00000000-000D-0000-FFFF-FFFF00000000}"/>
  </bookViews>
  <sheets>
    <sheet name="Sheet5" sheetId="6" r:id="rId1"/>
    <sheet name="Crowdfunding" sheetId="1" r:id="rId2"/>
    <sheet name="Pivot chart_Parent-category" sheetId="2" r:id="rId3"/>
    <sheet name="Pivot chart_Sub-category" sheetId="4" r:id="rId4"/>
    <sheet name="Pivot chart_Date" sheetId="7" r:id="rId5"/>
    <sheet name="Bonus" sheetId="8" r:id="rId6"/>
    <sheet name="Bonus Statistical Analysis" sheetId="9" r:id="rId7"/>
  </sheets>
  <definedNames>
    <definedName name="_xlnm._FilterDatabase" localSheetId="6" hidden="1">'Bonus Statistical Analysis'!$A$1:$B$1</definedName>
    <definedName name="_xlnm._FilterDatabase" localSheetId="1" hidden="1">Crowdfunding!$A$1:$T$1001</definedName>
    <definedName name="_xlcn.WorksheetConnection_CrowdfundingA1T10011" hidden="1">Crowdfunding!$A$1:$T$1001</definedName>
  </definedNames>
  <calcPr calcId="191029"/>
  <pivotCaches>
    <pivotCache cacheId="0" r:id="rId8"/>
    <pivotCache cacheId="1" r:id="rId9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Crowdfunding!$A$1:$T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9" l="1"/>
  <c r="N3" i="9"/>
  <c r="M3" i="9"/>
  <c r="O2" i="9"/>
  <c r="N2" i="9"/>
  <c r="M2" i="9"/>
  <c r="L2" i="9"/>
  <c r="J2" i="9"/>
  <c r="L3" i="9"/>
  <c r="K3" i="9"/>
  <c r="J3" i="9"/>
  <c r="K2" i="9"/>
  <c r="D13" i="8"/>
  <c r="C13" i="8"/>
  <c r="B13" i="8"/>
  <c r="B2" i="8"/>
  <c r="D12" i="8"/>
  <c r="C12" i="8"/>
  <c r="D11" i="8"/>
  <c r="C11" i="8"/>
  <c r="B12" i="8"/>
  <c r="B11" i="8"/>
  <c r="D10" i="8"/>
  <c r="C10" i="8"/>
  <c r="B10" i="8"/>
  <c r="D9" i="8"/>
  <c r="C9" i="8"/>
  <c r="B9" i="8"/>
  <c r="D8" i="8"/>
  <c r="C8" i="8"/>
  <c r="B8" i="8"/>
  <c r="D7" i="8"/>
  <c r="C7" i="8"/>
  <c r="B7" i="8"/>
  <c r="D6" i="8"/>
  <c r="C6" i="8"/>
  <c r="B6" i="8"/>
  <c r="D5" i="8"/>
  <c r="C5" i="8"/>
  <c r="B5" i="8"/>
  <c r="D4" i="8"/>
  <c r="C4" i="8"/>
  <c r="B4" i="8"/>
  <c r="D3" i="8"/>
  <c r="C3" i="8"/>
  <c r="B3" i="8"/>
  <c r="D2" i="8"/>
  <c r="C2" i="8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O2" i="1"/>
  <c r="N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E2" i="8" l="1"/>
  <c r="H2" i="8" s="1"/>
  <c r="E13" i="8"/>
  <c r="F13" i="8" s="1"/>
  <c r="E9" i="8"/>
  <c r="G9" i="8" s="1"/>
  <c r="E8" i="8"/>
  <c r="G8" i="8" s="1"/>
  <c r="E4" i="8"/>
  <c r="F4" i="8" s="1"/>
  <c r="E5" i="8"/>
  <c r="G5" i="8" s="1"/>
  <c r="E7" i="8"/>
  <c r="G7" i="8" s="1"/>
  <c r="E6" i="8"/>
  <c r="F6" i="8" s="1"/>
  <c r="E12" i="8"/>
  <c r="E11" i="8"/>
  <c r="F11" i="8" s="1"/>
  <c r="E10" i="8"/>
  <c r="E3" i="8"/>
  <c r="F2" i="8" l="1"/>
  <c r="G2" i="8"/>
  <c r="H13" i="8"/>
  <c r="G13" i="8"/>
  <c r="H9" i="8"/>
  <c r="F9" i="8"/>
  <c r="H8" i="8"/>
  <c r="F8" i="8"/>
  <c r="H6" i="8"/>
  <c r="G6" i="8"/>
  <c r="H4" i="8"/>
  <c r="G4" i="8"/>
  <c r="F7" i="8"/>
  <c r="H7" i="8"/>
  <c r="H5" i="8"/>
  <c r="F5" i="8"/>
  <c r="G12" i="8"/>
  <c r="H12" i="8"/>
  <c r="H10" i="8"/>
  <c r="G10" i="8"/>
  <c r="F12" i="8"/>
  <c r="H11" i="8"/>
  <c r="G11" i="8"/>
  <c r="F10" i="8"/>
  <c r="H3" i="8"/>
  <c r="G3" i="8"/>
  <c r="F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4476A4-285C-4E96-A2B1-EB879E1D13B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452BFB6-44E5-4200-AD7A-C647D12C8C32}" name="WorksheetConnection_Crowdfunding!$A$1:$T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T100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Date Created Conversion (Year)].[All]}"/>
    <s v="{[Range].[Parent category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<sst xmlns="http://schemas.openxmlformats.org/spreadsheetml/2006/main" count="9063" uniqueCount="2114">
  <si>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</si>
  <si>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</si>
  <si>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</si>
  <si>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</si>
  <si>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</si>
  <si>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</si>
  <si>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</si>
  <si>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</si>
  <si>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</si>
  <si>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</si>
  <si>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</si>
  <si>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</si>
  <si>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</si>
  <si>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</si>
  <si>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</si>
  <si>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</si>
  <si>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</si>
  <si>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</si>
  <si>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</si>
  <si>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</si>
  <si>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</si>
  <si>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</si>
  <si>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</si>
  <si>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</si>
  <si>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</si>
  <si>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</si>
  <si>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</si>
  <si>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</si>
  <si>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</si>
  <si>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</si>
  <si>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</si>
  <si>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</si>
  <si>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</si>
  <si>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</si>
  <si>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</si>
  <si>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</si>
  <si>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</si>
  <si>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</si>
  <si>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</si>
  <si>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</si>
  <si>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</si>
  <si>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</si>
  <si>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</si>
  <si>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</si>
  <si>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</si>
  <si>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</si>
  <si>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</si>
  <si>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</si>
  <si>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</si>
  <si>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</si>
  <si>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</si>
  <si>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</si>
  <si>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</si>
  <si>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</si>
  <si>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</si>
  <si>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</si>
  <si>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</si>
  <si>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</si>
  <si>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</si>
  <si>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</si>
  <si>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</si>
  <si>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</si>
  <si>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</si>
  <si>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</si>
  <si>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</si>
  <si>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</si>
  <si>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</si>
  <si>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</si>
  <si>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</si>
  <si>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</si>
  <si>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</si>
  <si>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</si>
  <si>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</si>
  <si>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</si>
  <si>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</si>
  <si>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</si>
  <si>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</si>
  <si>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</si>
  <si>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</si>
  <si>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</si>
  <si>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</si>
  <si>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</si>
  <si>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</si>
  <si>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</si>
  <si>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</si>
  <si>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</si>
  <si>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</si>
  <si>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</si>
  <si>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</si>
  <si>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</si>
  <si>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</si>
  <si>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</si>
  <si>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</si>
  <si>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</si>
  <si>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</si>
  <si>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</si>
  <si>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</si>
  <si>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</si>
  <si>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</si>
  <si>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</si>
  <si>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</si>
  <si>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</si>
  <si>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</si>
  <si>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</si>
  <si>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</si>
  <si>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</si>
  <si>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</si>
  <si>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</si>
  <si>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</si>
  <si>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</si>
  <si>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</si>
  <si>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</si>
  <si>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</si>
  <si>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</si>
  <si>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</si>
  <si>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</si>
  <si>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</si>
  <si>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</si>
  <si>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</si>
  <si>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</si>
  <si>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</si>
  <si>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</si>
  <si>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</si>
  <si>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</si>
  <si>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</si>
  <si>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</si>
  <si>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</si>
  <si>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</si>
  <si>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</si>
  <si>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</si>
  <si>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</si>
  <si>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</si>
  <si>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</si>
  <si>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</si>
  <si>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</si>
  <si>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</si>
  <si>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</si>
  <si>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</si>
  <si>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</si>
  <si>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</si>
  <si>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</si>
  <si>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</si>
  <si>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</si>
  <si>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</si>
  <si>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</si>
  <si>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</si>
  <si>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</si>
  <si>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</si>
  <si>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</si>
  <si>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</si>
  <si>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</si>
  <si>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</si>
  <si>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</si>
  <si>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</si>
  <si>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</si>
  <si>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</si>
  <si>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</si>
  <si>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</si>
  <si>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</si>
  <si>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</si>
  <si>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</si>
  <si>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</si>
  <si>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</si>
  <si>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</si>
  <si>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</si>
  <si>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</si>
  <si>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</si>
  <si>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</si>
  <si>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</si>
  <si>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</si>
  <si>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</si>
  <si>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</si>
  <si>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</si>
  <si>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</si>
  <si>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</si>
  <si>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</si>
  <si>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</si>
  <si>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</si>
  <si>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</si>
  <si>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</si>
  <si>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</si>
  <si>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</si>
  <si>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</si>
  <si>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</si>
  <si>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</si>
  <si>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</si>
  <si>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</si>
  <si>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</si>
  <si>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</si>
  <si>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</si>
  <si>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</si>
  <si>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</si>
  <si>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</si>
  <si>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</si>
  <si>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</si>
  <si>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</si>
  <si>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</si>
  <si>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</si>
  <si>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</si>
  <si>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</si>
  <si>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</si>
  <si>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</si>
  <si>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</si>
  <si>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</si>
  <si>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</si>
  <si>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</si>
  <si>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</si>
  <si>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</si>
  <si>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</si>
  <si>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</si>
  <si>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</si>
  <si>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</si>
  <si>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</si>
  <si>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</si>
  <si>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</si>
  <si>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</si>
  <si>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</si>
  <si>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</si>
  <si>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</si>
  <si>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</si>
  <si>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</si>
  <si>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</si>
  <si>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</si>
  <si>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</si>
  <si>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</si>
  <si>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</si>
  <si>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</si>
  <si>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</si>
  <si>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</si>
  <si>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</si>
  <si>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</si>
  <si>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</si>
  <si>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</si>
  <si>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</si>
  <si>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</si>
  <si>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</si>
  <si>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</si>
  <si>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</si>
  <si>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</si>
  <si>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</si>
  <si>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</si>
  <si>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</si>
  <si>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</si>
  <si>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</si>
  <si>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</si>
  <si>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</si>
  <si>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</si>
  <si>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</si>
  <si>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</si>
  <si>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</si>
  <si>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</si>
  <si>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</si>
  <si>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</si>
  <si>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</si>
  <si>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</si>
  <si>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</si>
  <si>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</si>
  <si>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</si>
  <si>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</si>
  <si>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</si>
  <si>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</si>
  <si>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</si>
  <si>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</si>
  <si>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</si>
  <si>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</si>
  <si>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</si>
  <si>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</si>
  <si>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</si>
  <si>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</si>
  <si>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</si>
  <si>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</si>
  <si>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</si>
  <si>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</si>
  <si>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</si>
  <si>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</si>
  <si>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</si>
  <si>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</si>
  <si>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</si>
  <si>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</si>
  <si>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</si>
  <si>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</si>
  <si>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</si>
  <si>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</si>
  <si>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</si>
  <si>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</si>
  <si>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</si>
  <si>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</si>
  <si>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</si>
  <si>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</si>
  <si>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</si>
  <si>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</si>
  <si>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</si>
  <si>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</si>
  <si>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</si>
  <si>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</si>
  <si>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</si>
  <si>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</si>
  <si>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</si>
  <si>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</si>
  <si>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</si>
  <si>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</si>
  <si>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</si>
  <si>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</si>
  <si>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</si>
  <si>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</si>
  <si>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</si>
  <si>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</si>
  <si>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</si>
  <si>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</si>
  <si>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</si>
  <si>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</si>
  <si>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</si>
  <si>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</si>
  <si>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</si>
  <si>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</si>
  <si>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</si>
  <si>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</si>
  <si>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</si>
  <si>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</si>
  <si>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</si>
  <si>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</si>
  <si>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</si>
  <si>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</si>
  <si>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</si>
  <si>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</si>
  <si>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</si>
  <si>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</si>
  <si>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</si>
  <si>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</si>
  <si>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</si>
  <si>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</si>
  <si>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</si>
  <si>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</si>
  <si>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</si>
  <si>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</si>
  <si>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</si>
  <si>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</si>
  <si>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</si>
  <si>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</si>
  <si>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</si>
  <si>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</si>
  <si>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</si>
  <si>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</si>
  <si>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</si>
  <si>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</si>
  <si>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</si>
  <si>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</si>
  <si>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</si>
  <si>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</si>
  <si>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</si>
  <si>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</si>
  <si>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</si>
  <si>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</si>
  <si>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</si>
  <si>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</si>
  <si>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</si>
  <si>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</si>
  <si>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</si>
  <si>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</si>
  <si>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</si>
  <si>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</si>
  <si>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</si>
  <si>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</si>
  <si>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</si>
  <si>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</si>
  <si>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</si>
  <si>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</si>
  <si>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</si>
  <si>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</si>
  <si>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</si>
  <si>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</si>
  <si>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</si>
  <si>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</si>
  <si>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</si>
  <si>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</si>
  <si>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</si>
  <si>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</si>
  <si>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</si>
  <si>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</si>
  <si>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</si>
  <si>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</si>
  <si>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</si>
  <si>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</si>
  <si>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</si>
  <si>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</si>
  <si>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</si>
  <si>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</si>
  <si>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</si>
  <si>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</si>
  <si>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</si>
  <si>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</si>
  <si>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</si>
  <si>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</si>
  <si>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</si>
  <si>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</si>
  <si>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</si>
  <si>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</si>
  <si>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</si>
  <si>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</si>
  <si>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</si>
  <si>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</si>
  <si>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</si>
  <si>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</si>
  <si>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</si>
  <si>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</si>
  <si>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</si>
  <si>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</si>
  <si>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</si>
  <si>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</si>
  <si>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</si>
  <si>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</si>
  <si>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</si>
  <si>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</si>
  <si>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</si>
  <si>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</si>
  <si>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</si>
  <si>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</si>
  <si>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</si>
  <si>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</si>
  <si>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</si>
  <si>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</si>
  <si>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</si>
  <si>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</si>
  <si>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</si>
  <si>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</si>
  <si>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</si>
  <si>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</si>
  <si>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</si>
  <si>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</si>
  <si>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</si>
  <si>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</si>
  <si>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</si>
  <si>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</si>
  <si>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</si>
  <si>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</si>
  <si>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</si>
  <si>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</si>
  <si>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</si>
  <si>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</si>
  <si>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</si>
  <si>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</si>
  <si>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</si>
  <si>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</si>
  <si>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</si>
  <si>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</si>
  <si>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</si>
  <si>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</si>
  <si>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</si>
  <si>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</si>
  <si>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</si>
  <si>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</si>
  <si>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</si>
  <si>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</si>
  <si>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</si>
  <si>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</si>
  <si>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</si>
  <si>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</si>
  <si>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</si>
  <si>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</si>
  <si>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</si>
  <si>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</si>
  <si>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</si>
  <si>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</si>
  <si>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</si>
  <si>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</si>
  <si>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</si>
  <si>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</si>
  <si>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</si>
  <si>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</si>
  <si>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</si>
  <si>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</si>
  <si>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</si>
  <si>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</si>
  <si>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</si>
  <si>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</si>
  <si>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</si>
  <si>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</si>
  <si>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</si>
  <si>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</si>
  <si>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</si>
  <si>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</si>
  <si>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</si>
  <si>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</si>
  <si>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</si>
  <si>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</si>
  <si>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</si>
  <si>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</si>
  <si>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</si>
  <si>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</si>
  <si>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</si>
  <si>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</si>
  <si>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</si>
  <si>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</si>
  <si>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</si>
  <si>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</si>
  <si>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</si>
  <si>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</si>
  <si>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</si>
  <si>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</si>
  <si>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</si>
  <si>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</si>
  <si>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</si>
  <si>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</si>
  <si>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</si>
  <si>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</si>
  <si>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</si>
  <si>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</si>
  <si>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</si>
  <si>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</si>
  <si>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</si>
  <si>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</si>
  <si>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</si>
  <si>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</si>
  <si>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</si>
  <si>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</si>
  <si>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</si>
  <si>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</si>
  <si>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</si>
  <si>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</si>
  <si>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</si>
  <si>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</si>
  <si>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</si>
  <si>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</si>
  <si>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</si>
  <si>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</si>
  <si>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</si>
  <si>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</si>
  <si>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</si>
  <si>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</si>
  <si>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</si>
  <si>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</si>
  <si>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</si>
  <si>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</si>
  <si>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</si>
  <si>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</si>
  <si>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</si>
  <si>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</si>
  <si>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</si>
  <si>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</si>
  <si>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</si>
  <si>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</si>
  <si>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</si>
  <si>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</si>
  <si>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</si>
  <si>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</si>
  <si>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</si>
  <si>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</si>
  <si>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</si>
  <si>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</si>
  <si>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</si>
  <si>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</si>
  <si>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</si>
  <si>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</si>
  <si>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</si>
  <si>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</si>
  <si>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</si>
  <si>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</si>
  <si>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</si>
  <si>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</si>
  <si>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</si>
  <si>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</si>
  <si>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</si>
  <si>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</si>
  <si>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</si>
  <si>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</si>
  <si>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</si>
  <si>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</si>
  <si>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</si>
  <si>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</si>
  <si>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</si>
  <si>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</si>
  <si>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</si>
  <si>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</si>
  <si>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</si>
  <si>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</si>
  <si>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</si>
  <si>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</si>
  <si>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</si>
  <si>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</si>
  <si>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</si>
  <si>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</si>
  <si>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</si>
  <si>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</si>
  <si>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</si>
  <si>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</si>
  <si>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</si>
  <si>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</si>
  <si>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</si>
  <si>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</si>
  <si>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</si>
  <si>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</si>
  <si>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</si>
  <si>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</si>
  <si>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</si>
  <si>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</si>
  <si>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</si>
  <si>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</si>
  <si>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</si>
  <si>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</si>
  <si>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</si>
  <si>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</si>
  <si>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</si>
  <si>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</si>
  <si>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</si>
  <si>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</si>
  <si>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</si>
  <si>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</si>
  <si>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</si>
  <si>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</si>
  <si>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</si>
  <si>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</si>
  <si>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</si>
  <si>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</si>
  <si>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</si>
  <si>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</si>
  <si>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</si>
  <si>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</si>
  <si>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</si>
  <si>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</si>
  <si>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</si>
  <si>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</si>
  <si>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</si>
  <si>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</si>
  <si>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</si>
  <si>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</si>
  <si>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</si>
  <si>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</si>
  <si>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</si>
  <si>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</si>
  <si>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</si>
  <si>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</si>
  <si>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</si>
  <si>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</si>
  <si>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</si>
  <si>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</si>
  <si>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</si>
  <si>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</si>
  <si>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</si>
  <si>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</si>
  <si>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</si>
  <si>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</si>
  <si>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</si>
  <si>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</si>
  <si>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</si>
  <si>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</si>
  <si>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</si>
  <si>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</si>
  <si>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</si>
  <si>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</si>
  <si>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</si>
  <si>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</si>
  <si>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</si>
  <si>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</si>
  <si>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</si>
  <si>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</si>
  <si>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</si>
  <si>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</si>
  <si>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</si>
  <si>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</si>
  <si>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</si>
  <si>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</si>
  <si>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</si>
  <si>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</si>
  <si>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</si>
  <si>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</si>
  <si>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</si>
  <si>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</si>
  <si>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</si>
  <si>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</si>
  <si>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</si>
  <si>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</si>
  <si>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</si>
  <si>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</si>
  <si>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</si>
  <si>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</si>
  <si>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</si>
  <si>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</si>
  <si>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</si>
  <si>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</si>
  <si>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</si>
  <si>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</si>
  <si>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</si>
  <si>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</si>
  <si>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</si>
  <si>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</si>
  <si>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</si>
  <si>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</si>
  <si>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</si>
  <si>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</si>
  <si>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</si>
  <si>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</si>
  <si>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</si>
  <si>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</si>
  <si>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</si>
  <si>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</si>
  <si>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</si>
  <si>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</si>
  <si>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</si>
  <si>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</si>
  <si>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</si>
  <si>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</si>
  <si>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</si>
  <si>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</si>
  <si>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</si>
  <si>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</si>
  <si>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</si>
  <si>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</si>
  <si>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</si>
  <si>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</si>
  <si>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</si>
  <si>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</si>
  <si>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</si>
  <si>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</si>
  <si>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</si>
  <si>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</si>
  <si>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</si>
  <si>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</si>
  <si>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</si>
  <si>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</si>
  <si>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</si>
  <si>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</si>
  <si>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</si>
  <si>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</si>
  <si>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</si>
  <si>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</si>
  <si>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</si>
  <si>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</si>
  <si>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</si>
  <si>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</si>
  <si>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</si>
  <si>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</si>
  <si>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</si>
  <si>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</si>
  <si>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</si>
  <si>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</si>
  <si>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</si>
  <si>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</si>
  <si>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</si>
  <si>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</si>
  <si>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</si>
  <si>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</si>
  <si>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</si>
  <si>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</si>
  <si>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</si>
  <si>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</si>
  <si>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</si>
  <si>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</si>
  <si>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</si>
  <si>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</si>
  <si>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</si>
  <si>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</si>
  <si>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</si>
  <si>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</si>
  <si>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</si>
  <si>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</si>
  <si>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</si>
  <si>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</si>
  <si>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</si>
  <si>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</si>
  <si>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</si>
  <si>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</si>
  <si>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</si>
  <si>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</si>
  <si>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</si>
  <si>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</si>
  <si>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</si>
  <si>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</si>
  <si>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</si>
  <si>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</si>
  <si>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</si>
  <si>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</si>
  <si>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</si>
  <si>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</si>
  <si>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</si>
  <si>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</si>
  <si>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</si>
  <si>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</si>
  <si>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</si>
  <si>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</si>
  <si>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</si>
  <si>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</si>
  <si>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</si>
  <si>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</si>
  <si>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</si>
  <si>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</si>
  <si>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</si>
  <si>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</si>
  <si>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</si>
  <si>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</si>
  <si>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</si>
  <si>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</si>
  <si>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</si>
  <si>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</si>
  <si>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</si>
  <si>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</si>
  <si>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</si>
  <si>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</si>
  <si>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</si>
  <si>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</si>
  <si>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</si>
  <si>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</si>
  <si>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</si>
  <si>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</si>
  <si>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</si>
  <si>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</si>
  <si>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</si>
  <si>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</si>
  <si>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</si>
  <si>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</si>
  <si>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</si>
  <si>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</si>
  <si>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</si>
  <si>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</si>
  <si>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</si>
  <si>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</si>
  <si>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</si>
  <si>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</si>
  <si>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</si>
  <si>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</si>
  <si>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</si>
  <si>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</si>
  <si>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</si>
  <si>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</si>
  <si>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</si>
  <si>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</si>
  <si>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</si>
  <si>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</si>
  <si>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</si>
  <si>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</si>
  <si>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</si>
  <si>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</si>
  <si>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</si>
  <si>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</si>
  <si>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</si>
  <si>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</si>
  <si>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</si>
  <si>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</si>
  <si>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</si>
  <si>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</si>
  <si>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</si>
  <si>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</si>
  <si>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</si>
  <si>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</si>
  <si>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</si>
  <si>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</si>
  <si>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</si>
  <si>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</si>
  <si>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</si>
  <si>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</si>
  <si>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</si>
  <si>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</si>
  <si>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</si>
  <si>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</si>
  <si>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</si>
  <si>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</si>
  <si>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</si>
  <si>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</si>
  <si>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</si>
  <si>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</si>
  <si>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</si>
  <si>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</si>
  <si>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</si>
  <si>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</si>
  <si>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</si>
  <si>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</si>
  <si>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</si>
  <si>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</si>
  <si>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</si>
  <si>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</si>
  <si>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</si>
  <si>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</si>
  <si>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</si>
  <si>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</si>
  <si>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</si>
  <si>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</si>
  <si>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</si>
  <si>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</si>
  <si>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</si>
  <si>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</si>
  <si>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</si>
  <si>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</si>
  <si>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</si>
  <si>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</si>
  <si>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</si>
  <si>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</si>
  <si>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</si>
  <si>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</si>
  <si>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</si>
  <si>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</si>
  <si>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</si>
  <si>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</si>
  <si>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</si>
  <si>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</si>
  <si>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</si>
  <si>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</si>
  <si>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</si>
  <si>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</si>
  <si>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</si>
  <si>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</si>
  <si>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</si>
  <si>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</si>
  <si>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</si>
  <si>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</si>
  <si>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</si>
  <si>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</si>
  <si>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</si>
  <si>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</si>
  <si>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</si>
  <si>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</si>
  <si>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</si>
  <si>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</si>
  <si>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</si>
  <si>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</si>
  <si>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</si>
  <si>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</si>
  <si>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</si>
  <si>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</si>
  <si>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</si>
  <si>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</si>
  <si>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</si>
  <si>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</si>
  <si>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</si>
  <si>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</si>
  <si>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</si>
  <si>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</si>
  <si>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</si>
  <si>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</si>
  <si>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</si>
  <si>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</si>
  <si>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</si>
  <si>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</si>
  <si>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</si>
  <si>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</si>
  <si>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</si>
  <si>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</si>
  <si>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</si>
  <si>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</si>
  <si>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</si>
  <si>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</si>
  <si>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</si>
  <si>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</si>
  <si>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</si>
  <si>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</si>
  <si>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</si>
  <si>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</si>
  <si>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</si>
  <si>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</si>
  <si>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</si>
  <si>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</si>
  <si>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</si>
  <si>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</si>
  <si>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</si>
  <si>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</si>
  <si>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</si>
  <si>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</si>
  <si>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</si>
  <si>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</si>
  <si>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</si>
  <si>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</si>
  <si>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</si>
  <si>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</si>
  <si>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</si>
  <si>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</si>
  <si>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</si>
  <si>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</si>
  <si>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</si>
  <si>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</si>
  <si>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</si>
  <si>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</si>
  <si>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</si>
  <si>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</si>
  <si>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</si>
  <si>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</si>
  <si>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</si>
  <si>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</si>
  <si>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</si>
  <si>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</si>
  <si>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</si>
  <si>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</si>
  <si>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</si>
  <si>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</si>
  <si>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</si>
  <si>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</si>
  <si>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</si>
  <si>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</si>
  <si>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</si>
  <si>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</si>
  <si>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</si>
  <si>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</si>
  <si>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</si>
  <si>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</si>
  <si>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</si>
  <si>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</si>
  <si>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</si>
  <si>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</si>
  <si>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</si>
  <si>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</si>
  <si>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</si>
  <si>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</si>
  <si>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</si>
  <si>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</si>
  <si>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</si>
  <si>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</si>
  <si>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</si>
  <si>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</si>
  <si>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</si>
  <si>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</si>
  <si>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</si>
  <si>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</si>
  <si>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</si>
  <si>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</si>
  <si>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</si>
  <si>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</si>
  <si>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</si>
  <si>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</si>
  <si>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</si>
  <si>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</si>
  <si>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</si>
  <si>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</si>
  <si>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</si>
  <si>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</si>
  <si>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</si>
  <si>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</si>
  <si>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</si>
  <si>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</si>
  <si>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</si>
  <si>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</si>
  <si>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</si>
  <si>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</si>
  <si>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</si>
  <si>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</si>
  <si>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</si>
  <si>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</si>
  <si>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</si>
  <si>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</si>
  <si>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</si>
  <si>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</si>
  <si>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</si>
  <si>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</si>
  <si>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</si>
  <si>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</si>
  <si>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</si>
  <si>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</si>
  <si>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</si>
  <si>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</si>
  <si>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</si>
  <si>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</si>
  <si>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</si>
  <si>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</si>
  <si>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</si>
  <si>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</si>
  <si>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</si>
  <si>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</si>
  <si>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</si>
  <si>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</si>
  <si>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</si>
  <si>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</si>
  <si>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</si>
  <si>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</si>
  <si>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</si>
  <si>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</si>
  <si>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</si>
  <si>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</si>
  <si>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</si>
  <si>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</si>
  <si>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</si>
  <si>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</si>
  <si>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</si>
  <si>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</si>
  <si>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</si>
  <si>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</si>
  <si>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</si>
  <si>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</si>
  <si>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</si>
  <si>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</si>
  <si>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</si>
  <si>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</si>
  <si>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</si>
  <si>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</si>
  <si>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</si>
  <si>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</si>
  <si>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</si>
  <si>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</si>
  <si>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</si>
  <si>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</si>
  <si>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</si>
  <si>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</si>
  <si>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</si>
  <si>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</si>
  <si>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</si>
  <si>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</si>
  <si>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</si>
  <si>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</si>
  <si>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</si>
  <si>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</si>
  <si>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</si>
  <si>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</si>
  <si>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</si>
  <si>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</si>
  <si>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</si>
  <si>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</si>
  <si>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</si>
  <si>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</si>
  <si>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</si>
  <si>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</si>
  <si>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</si>
  <si>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</si>
  <si>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</si>
  <si>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</si>
  <si>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</si>
  <si>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</si>
  <si>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</si>
  <si>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</si>
  <si>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</si>
  <si>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</si>
  <si>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</si>
  <si>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</si>
  <si>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</si>
  <si>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</si>
  <si>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</si>
  <si>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</si>
  <si>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</si>
  <si>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</si>
  <si>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</si>
  <si>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</si>
  <si>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</si>
  <si>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</si>
  <si>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</si>
  <si>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</si>
  <si>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</si>
  <si>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</si>
  <si>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</si>
  <si>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</si>
  <si>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</si>
  <si>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</si>
  <si>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</si>
  <si>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</si>
  <si>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</si>
  <si>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</si>
  <si>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</si>
  <si>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</si>
  <si>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</si>
  <si>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</si>
  <si>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</si>
  <si>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</si>
  <si>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</si>
  <si>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</si>
  <si>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</si>
  <si>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</si>
  <si>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</si>
  <si>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</si>
  <si>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</si>
  <si>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</si>
  <si>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</si>
  <si>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</si>
  <si>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</si>
  <si>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</si>
  <si>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</si>
  <si>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</si>
  <si>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</si>
  <si>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</si>
  <si>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</si>
  <si>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</si>
  <si>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</si>
  <si>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</si>
  <si>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</si>
  <si>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</si>
  <si>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</si>
  <si>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</si>
  <si>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</si>
  <si>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</si>
  <si>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</si>
  <si>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</si>
  <si>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</si>
  <si>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</si>
  <si>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</si>
  <si>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</si>
  <si>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</si>
  <si>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</si>
  <si>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</si>
  <si>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</si>
  <si>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</si>
  <si>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</si>
  <si>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</si>
  <si>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</si>
  <si>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</si>
  <si>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</si>
  <si>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</si>
  <si>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</si>
  <si>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</si>
  <si>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</si>
  <si>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</si>
  <si>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</si>
  <si>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</si>
  <si>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</si>
  <si>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</si>
  <si>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</si>
  <si>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</si>
  <si>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</si>
  <si>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</si>
  <si>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</si>
  <si>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</si>
  <si>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</si>
  <si>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</si>
  <si>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</si>
  <si>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</si>
  <si>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</si>
  <si>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</si>
  <si>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</si>
  <si>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</si>
  <si>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</si>
  <si>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</si>
  <si>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</si>
  <si>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</si>
  <si>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</si>
  <si>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</si>
  <si>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</si>
  <si>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</si>
  <si>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</si>
  <si>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</si>
  <si>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</si>
  <si>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</si>
  <si>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</si>
  <si>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</si>
  <si>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</si>
  <si>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</si>
  <si>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</si>
  <si>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</si>
  <si>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</si>
  <si>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</si>
  <si>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</si>
  <si>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</si>
  <si>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</si>
  <si>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</si>
  <si>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</si>
  <si>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</si>
  <si>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</si>
  <si>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</si>
  <si>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</si>
  <si>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</si>
  <si>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</si>
  <si>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</si>
  <si>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</si>
  <si>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</si>
  <si>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</si>
  <si>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</si>
  <si>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</si>
  <si>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</si>
  <si>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</si>
  <si>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</si>
  <si>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</si>
  <si>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</si>
  <si>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</si>
  <si>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</si>
  <si>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</si>
  <si>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</si>
  <si>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</si>
  <si>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</si>
  <si>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</si>
  <si>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</si>
  <si>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</si>
  <si>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</si>
  <si>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</si>
  <si>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</si>
  <si>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</si>
  <si>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</si>
  <si>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</si>
  <si>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</si>
  <si>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</si>
  <si>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</si>
  <si>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</si>
  <si>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</si>
  <si>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</si>
  <si>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</si>
  <si>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</si>
  <si>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</si>
  <si>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</si>
  <si>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</si>
  <si>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</si>
  <si>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</si>
  <si>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</si>
  <si>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</si>
  <si>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</si>
  <si>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</si>
  <si>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</si>
  <si>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</si>
  <si>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</si>
  <si>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</si>
  <si>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</si>
  <si>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</si>
  <si>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</si>
  <si>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</si>
  <si>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</si>
  <si>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</si>
  <si>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</si>
  <si>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</si>
  <si>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</si>
  <si>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</si>
  <si>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</si>
  <si>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</si>
  <si>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</si>
  <si>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</si>
  <si>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</si>
  <si>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</si>
  <si>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</si>
  <si>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</si>
  <si>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</si>
  <si>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</si>
  <si>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</si>
  <si>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</si>
  <si>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</si>
  <si>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</si>
  <si>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</si>
  <si>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</si>
  <si>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</si>
  <si>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</si>
  <si>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</si>
  <si>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</si>
  <si>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</si>
  <si>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</si>
  <si>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</si>
  <si>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</si>
  <si>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</si>
  <si>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</si>
  <si>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</si>
  <si>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</si>
  <si>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</si>
  <si>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</si>
  <si>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</si>
  <si>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</si>
  <si>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</si>
  <si>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</si>
  <si>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</si>
  <si>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</si>
  <si>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</si>
  <si>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</si>
  <si>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</si>
  <si>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</si>
  <si>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</si>
  <si>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</si>
  <si>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</si>
  <si>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</si>
  <si>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</si>
  <si>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</si>
  <si>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</si>
  <si>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</si>
  <si>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</si>
  <si>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</si>
  <si>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</si>
  <si>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</si>
  <si>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</si>
  <si>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</si>
  <si>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</si>
  <si>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</si>
  <si>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</si>
  <si>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</si>
  <si>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</si>
  <si>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</si>
  <si>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</si>
  <si>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</si>
  <si>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</si>
  <si>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</si>
  <si>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</si>
  <si>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</si>
  <si>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</si>
  <si>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</si>
  <si>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</si>
  <si>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</si>
  <si>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</si>
  <si>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</si>
  <si>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</si>
  <si>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</si>
  <si>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</si>
  <si>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</si>
  <si>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</si>
  <si>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</si>
  <si>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</si>
  <si>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</si>
  <si>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</si>
  <si>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</si>
  <si>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</si>
  <si>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</si>
  <si>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</si>
  <si>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</si>
  <si>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</si>
  <si>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</si>
  <si>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</si>
  <si>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</si>
  <si>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</si>
  <si>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</si>
  <si>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</si>
  <si>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</si>
  <si>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</si>
  <si>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</si>
  <si>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</si>
  <si>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</si>
  <si>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</si>
  <si>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</si>
  <si>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</si>
  <si>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</si>
  <si>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</si>
  <si>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</si>
  <si>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</si>
  <si>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</si>
  <si>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</si>
  <si>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</si>
  <si>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</si>
  <si>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</si>
  <si>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</si>
  <si>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</si>
  <si>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</si>
  <si>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</si>
  <si>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</si>
  <si>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</si>
  <si>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</si>
  <si>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</si>
  <si>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</si>
  <si>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</si>
  <si>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</si>
  <si>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</si>
  <si>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</si>
  <si>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</si>
  <si>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</si>
  <si>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</si>
  <si>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</si>
  <si>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</si>
  <si>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</si>
  <si>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</si>
  <si>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</si>
  <si>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</si>
  <si>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</si>
  <si>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</si>
  <si>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</si>
  <si>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</si>
  <si>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</si>
  <si>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</si>
  <si>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</si>
  <si>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</si>
  <si>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</si>
  <si>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</si>
  <si>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</si>
  <si>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</si>
  <si>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</si>
  <si>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</si>
  <si>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</si>
  <si>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</si>
  <si>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</si>
  <si>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</si>
  <si>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</si>
  <si>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</si>
  <si>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</si>
  <si>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</si>
  <si>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</si>
  <si>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</si>
  <si>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</si>
  <si>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</si>
  <si>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</si>
  <si>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</si>
  <si>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</si>
  <si>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</si>
  <si>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</si>
  <si>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</si>
  <si>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</si>
  <si>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</si>
  <si>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</si>
  <si>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</si>
  <si>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</si>
  <si>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</si>
  <si>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</si>
  <si>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</si>
  <si>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</si>
  <si>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</si>
  <si>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</si>
  <si>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</si>
  <si>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</si>
  <si>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</si>
  <si>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</si>
  <si>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</si>
  <si>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</si>
  <si>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</si>
  <si>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</si>
  <si>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</si>
  <si>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</si>
  <si>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</si>
  <si>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</si>
  <si>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</si>
  <si>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</si>
  <si>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</si>
  <si>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</si>
  <si>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</si>
  <si>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</si>
  <si>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</si>
  <si>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</si>
  <si>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</si>
  <si>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</si>
  <si>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</si>
  <si>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</si>
  <si>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</si>
  <si>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</si>
  <si>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</si>
  <si>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</si>
  <si>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</si>
  <si>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</si>
  <si>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</si>
  <si>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</si>
  <si>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</si>
  <si>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</si>
  <si>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</si>
  <si>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</si>
  <si>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</si>
  <si>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</si>
  <si>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</si>
  <si>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</si>
  <si>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</si>
  <si>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</si>
  <si>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</si>
  <si>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</si>
  <si>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</si>
  <si>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</si>
  <si>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</si>
  <si>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</si>
  <si>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</si>
  <si>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</si>
  <si>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</si>
  <si>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</si>
  <si>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</si>
  <si>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</si>
  <si>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</si>
  <si>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</si>
  <si>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</si>
  <si>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</si>
  <si>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</si>
  <si>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</si>
  <si>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</si>
  <si>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</si>
  <si>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</si>
  <si>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</si>
  <si>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</si>
  <si>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</si>
  <si>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</si>
  <si>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</si>
  <si>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</si>
  <si>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</si>
  <si>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</si>
  <si>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</si>
  <si>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</si>
  <si>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</si>
  <si>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</si>
  <si>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</si>
  <si>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</si>
  <si>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</si>
  <si>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</si>
  <si>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</si>
  <si>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</si>
  <si>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</si>
  <si>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</si>
  <si>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</si>
  <si>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</si>
  <si>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</si>
  <si>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</si>
  <si>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</si>
  <si>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</si>
  <si>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</si>
  <si>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</si>
  <si>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</si>
  <si>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</si>
  <si>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</si>
  <si>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</si>
  <si>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</si>
  <si>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</si>
  <si>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</si>
  <si>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</si>
  <si>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</si>
  <si>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</si>
  <si>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</si>
  <si>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</si>
  <si>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</si>
  <si>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</si>
  <si>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</si>
  <si>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</si>
  <si>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</si>
  <si>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</si>
  <si>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</si>
  <si>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</si>
  <si>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</si>
  <si>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</si>
  <si>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</si>
  <si>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</si>
  <si>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</si>
  <si>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</si>
  <si>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</si>
  <si>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</si>
  <si>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</si>
  <si>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</si>
  <si>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</si>
  <si>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</si>
  <si>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</si>
  <si>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</si>
  <si>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</si>
  <si>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</si>
  <si>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</si>
  <si>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</si>
  <si>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</si>
  <si>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</si>
  <si>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</si>
  <si>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</si>
  <si>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</si>
  <si>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</si>
  <si>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</si>
  <si>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</si>
  <si>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</si>
  <si>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</si>
  <si>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</si>
  <si>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</si>
  <si>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</si>
  <si>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</si>
  <si>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</si>
  <si>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</si>
  <si>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</si>
  <si>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</si>
  <si>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</si>
  <si>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</si>
  <si>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</si>
  <si>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</si>
  <si>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</si>
  <si>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</si>
  <si>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</si>
  <si>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</si>
  <si>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</si>
  <si>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</si>
  <si>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</si>
  <si>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</si>
  <si>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</si>
  <si>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</si>
  <si>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</si>
  <si>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</si>
  <si>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</si>
  <si>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</si>
  <si>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</si>
  <si>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</si>
  <si>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</si>
  <si>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</si>
  <si>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</si>
  <si>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</si>
  <si>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</si>
  <si>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</si>
  <si>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</si>
  <si>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</si>
  <si>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</si>
  <si>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</si>
  <si>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</si>
  <si>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</si>
  <si>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</si>
  <si>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</si>
  <si>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</si>
  <si>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</si>
  <si>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</si>
  <si>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</si>
  <si>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</si>
  <si>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</si>
  <si>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</si>
  <si>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</si>
  <si>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</si>
  <si>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</si>
  <si>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</si>
  <si>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</si>
  <si>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</si>
  <si>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</si>
  <si>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</si>
  <si>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</si>
  <si>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</si>
  <si>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</si>
  <si>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</si>
  <si>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</si>
  <si>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</si>
  <si>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</si>
  <si>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</si>
  <si>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</si>
  <si>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</si>
  <si>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</si>
  <si>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</si>
  <si>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</si>
  <si>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</si>
  <si>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</si>
  <si>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</si>
  <si>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</si>
  <si>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</si>
  <si>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</si>
  <si>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</si>
  <si>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</si>
  <si>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</si>
  <si>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</si>
  <si>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</si>
  <si>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</si>
  <si>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</si>
  <si>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</si>
  <si>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</si>
  <si>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</si>
  <si>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</si>
  <si>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</si>
  <si>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</si>
  <si>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</si>
  <si>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</si>
  <si>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</si>
  <si>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</si>
  <si>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</si>
  <si>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</si>
  <si>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</si>
  <si>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</si>
  <si>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</si>
  <si>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</si>
  <si>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</si>
  <si>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</si>
  <si>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</si>
  <si>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</si>
  <si>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</si>
  <si>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</si>
  <si>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</si>
  <si>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</si>
  <si>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</si>
  <si>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</si>
  <si>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</si>
  <si>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</si>
  <si>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</si>
  <si>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</si>
  <si>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</si>
  <si>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</si>
  <si>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</si>
  <si>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</si>
  <si>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</si>
  <si>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</si>
  <si>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</si>
  <si>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</si>
  <si>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</si>
  <si>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</si>
  <si>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</si>
  <si>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</si>
  <si>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</si>
  <si>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</si>
  <si>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</si>
  <si>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</si>
  <si>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</si>
  <si>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</si>
  <si>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</si>
  <si>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</si>
  <si>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</si>
  <si>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</si>
  <si>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</si>
  <si>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</si>
  <si>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</si>
  <si>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</si>
  <si>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</si>
  <si>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</si>
  <si>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</si>
  <si>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</si>
  <si>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</si>
  <si>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</si>
  <si>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</si>
  <si>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</si>
  <si>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</si>
  <si>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</si>
  <si>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</si>
  <si>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</si>
  <si>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</si>
  <si>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</si>
  <si>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</si>
  <si>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</si>
  <si>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</si>
  <si>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</si>
  <si>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</si>
  <si>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</si>
  <si>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</si>
  <si>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</si>
  <si>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</si>
  <si>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</si>
  <si>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</si>
  <si>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</si>
  <si>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</si>
  <si>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</si>
  <si>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</si>
  <si>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</si>
  <si>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</si>
  <si>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</si>
  <si>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</si>
  <si>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</si>
  <si>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</si>
  <si>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</si>
  <si>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</si>
  <si>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</si>
  <si>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</si>
  <si>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</si>
  <si>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</si>
  <si>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</si>
  <si>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</si>
  <si>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</si>
  <si>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</si>
  <si>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</si>
  <si>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</si>
  <si>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</si>
  <si>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</si>
  <si>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</si>
  <si>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</si>
  <si>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</si>
  <si>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</si>
  <si>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</si>
  <si>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</si>
  <si>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</si>
  <si>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</si>
  <si>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</si>
  <si>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</si>
  <si>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</si>
  <si>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</si>
  <si>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</si>
  <si>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</si>
  <si>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</si>
  <si>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</si>
  <si>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</si>
  <si>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</si>
  <si>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</si>
  <si>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</si>
  <si>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</si>
  <si>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</si>
  <si>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</si>
  <si>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</si>
  <si>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</si>
  <si>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</si>
  <si>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</si>
  <si>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</si>
  <si>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</si>
  <si>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</si>
  <si>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</si>
  <si>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</si>
  <si>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</si>
  <si>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</si>
  <si>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</si>
  <si>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</si>
  <si>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</si>
  <si>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</si>
  <si>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</si>
  <si>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</si>
  <si>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</si>
  <si>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</si>
  <si>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</si>
  <si>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</si>
  <si>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</si>
  <si>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</si>
  <si>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</si>
  <si>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</si>
  <si>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</si>
  <si>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</si>
  <si>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</si>
  <si>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</si>
  <si>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</si>
  <si>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</si>
  <si>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</si>
  <si>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</si>
  <si>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</si>
  <si>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</si>
  <si>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</si>
  <si>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</si>
  <si>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</si>
  <si>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</si>
  <si>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</si>
  <si>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</si>
  <si>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</si>
  <si>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</si>
  <si>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</si>
  <si>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</si>
  <si>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</si>
  <si>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</si>
  <si>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</si>
  <si>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</si>
  <si>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</si>
  <si>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</si>
  <si>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</si>
  <si>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</si>
  <si>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</si>
  <si>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</si>
  <si>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</si>
  <si>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</si>
  <si>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</si>
  <si>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</si>
  <si>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</si>
  <si>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</si>
  <si>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</si>
  <si>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</si>
  <si>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</si>
  <si>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</si>
  <si>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</si>
  <si>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</si>
  <si>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</si>
  <si>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</si>
  <si>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</si>
  <si>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</si>
  <si>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</si>
  <si>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</si>
  <si>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</si>
  <si>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</si>
  <si>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</si>
  <si>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</si>
  <si>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</si>
  <si>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</si>
  <si>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</si>
  <si>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</si>
  <si>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</si>
  <si>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</si>
  <si>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</si>
  <si>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</si>
  <si>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</si>
  <si>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</si>
  <si>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</si>
  <si>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</si>
  <si>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</si>
  <si>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</si>
  <si>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</si>
  <si>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</si>
  <si>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</si>
  <si>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</si>
  <si>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</si>
  <si>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</si>
  <si>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</si>
  <si>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</si>
  <si>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</si>
  <si>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</si>
  <si>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</si>
  <si>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</si>
  <si>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</si>
  <si>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</si>
  <si>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</si>
  <si>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</si>
  <si>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</si>
  <si>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</si>
  <si>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</si>
  <si>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</si>
  <si>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</si>
  <si>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</si>
  <si>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</si>
  <si>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</si>
  <si>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</si>
  <si>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</si>
  <si>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</si>
  <si>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</si>
  <si>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</si>
  <si>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</si>
  <si>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</si>
  <si>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</si>
  <si>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</si>
  <si>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</si>
  <si>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</si>
  <si>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</si>
  <si>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</si>
  <si>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</si>
  <si>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</si>
  <si>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</si>
  <si>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</si>
  <si>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</si>
  <si>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</si>
  <si>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</si>
  <si>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</si>
  <si>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</si>
  <si>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</si>
  <si>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</si>
  <si>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</si>
  <si>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</si>
  <si>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</si>
  <si>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</si>
  <si>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</si>
  <si>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</si>
  <si>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</si>
  <si>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</si>
  <si>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</si>
  <si>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</si>
  <si>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</si>
  <si>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</si>
  <si>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</si>
  <si>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</si>
  <si>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</si>
  <si>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</si>
  <si>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</si>
  <si>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</si>
  <si>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</si>
  <si>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</si>
  <si>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</si>
  <si>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</si>
  <si>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</si>
  <si>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</si>
  <si>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</si>
  <si>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</si>
  <si>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</si>
  <si>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</si>
  <si>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</si>
  <si>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</si>
  <si>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</si>
  <si>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</si>
  <si>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</si>
  <si>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</si>
  <si>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</si>
  <si>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</si>
  <si>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</si>
  <si>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</si>
  <si>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</si>
  <si>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</si>
  <si>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</si>
  <si>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</si>
  <si>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</si>
  <si>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</si>
  <si>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</si>
  <si>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</si>
  <si>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</si>
  <si>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</si>
  <si>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</si>
  <si>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</si>
  <si>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</si>
  <si>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</si>
  <si>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</si>
  <si>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</si>
  <si>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</si>
  <si>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</si>
  <si>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</si>
  <si>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</si>
  <si>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</si>
  <si>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</si>
  <si>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</si>
  <si>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</si>
  <si>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</si>
  <si>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</si>
  <si>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</si>
  <si>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</si>
  <si>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</si>
  <si>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</si>
  <si>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</si>
  <si>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</si>
  <si>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</si>
  <si>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</si>
  <si>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</si>
  <si>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</si>
  <si>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</si>
  <si>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</si>
  <si>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</si>
  <si>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</si>
  <si>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</si>
  <si>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</si>
  <si>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</si>
  <si>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</si>
  <si>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</si>
  <si>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</si>
  <si>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</si>
  <si>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</si>
  <si>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</si>
  <si>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</si>
  <si>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</si>
  <si>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</si>
  <si>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</si>
  <si>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</si>
  <si>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</si>
  <si>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</si>
  <si>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</si>
  <si>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</si>
  <si>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</si>
  <si>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</si>
  <si>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</si>
  <si>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</si>
  <si>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</si>
  <si>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</si>
  <si>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 xml:space="preserve">Parent category </t>
  </si>
  <si>
    <t>Sub-category</t>
  </si>
  <si>
    <t>Row Labels</t>
  </si>
  <si>
    <t>Grand Total</t>
  </si>
  <si>
    <t>(All)</t>
  </si>
  <si>
    <t>Column Labels</t>
  </si>
  <si>
    <t>Count of outcome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</si>
  <si>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</si>
  <si>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</si>
  <si>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</si>
  <si>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</si>
  <si>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</si>
  <si>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</si>
  <si>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</si>
  <si>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</si>
  <si>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</si>
  <si>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</si>
  <si>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</si>
  <si>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</si>
  <si>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</si>
  <si>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</si>
  <si>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Created Conversion (Year)</t>
  </si>
  <si>
    <t>All</t>
  </si>
  <si>
    <t>Parent category</t>
  </si>
  <si>
    <t>Goal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</si>
  <si>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</si>
  <si>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</si>
  <si>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</si>
  <si>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</si>
  <si>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</si>
  <si>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</si>
  <si>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</si>
  <si>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</si>
  <si>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</si>
  <si>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</si>
  <si>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</si>
  <si>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</si>
  <si>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</si>
  <si>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</si>
  <si>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</si>
  <si>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</si>
  <si>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</si>
  <si>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</si>
  <si>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</si>
  <si>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</t>
  </si>
  <si>
    <t>Median</t>
  </si>
  <si>
    <t>Minimum</t>
  </si>
  <si>
    <t>Maximum</t>
  </si>
  <si>
    <t>Variance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</si>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</sst>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64" fontId="0" fillId="0" borderId="0" xfId="0" applyNumberFormat="1"/>
    <xf numFmtId="0" fontId="16" fillId="0" borderId="0" xfId="0" applyFont="1"/>
    <xf numFmtId="9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challenge edited.xlsm]Pivot chart_Parent-category!PivotTable2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chart_Parent-category'!$B$3:$B$4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chart_Parent-category'!$A$5:$A$14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chart_Parent-category'!$B$5:$B$14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B-4C49-B006-C4744FFDBE80}"/>
            </c:ext>
          </c:extLst>
        </c:ser>
        <c:ser>
          <c:idx val="1"/>
          <c:order val="1"/>
          <c:tx>
            <c:strRef>
              <c:f>'Pivot chart_Parent-category'!$C$3:$C$4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chart_Parent-category'!$A$5:$A$14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chart_Parent-category'!$C$5:$C$14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B-4C49-B006-C4744FFDBE80}"/>
            </c:ext>
          </c:extLst>
        </c:ser>
        <c:ser>
          <c:idx val="2"/>
          <c:order val="2"/>
          <c:tx>
            <c:strRef>
              <c:f>'Pivot chart_Parent-category'!$D$3:$D$4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chart_Parent-category'!$A$5:$A$14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chart_Parent-category'!$D$5:$D$14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8B-4C49-B006-C4744FFDBE80}"/>
            </c:ext>
          </c:extLst>
        </c:ser>
        <c:ser>
          <c:idx val="3"/>
          <c:order val="3"/>
          <c:tx>
            <c:strRef>
              <c:f>'Pivot chart_Parent-category'!$E$3:$E$4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chart_Parent-category'!$A$5:$A$14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chart_Parent-category'!$E$5:$E$14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8B-4C49-B006-C4744FFDB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3873951"/>
        <c:axId val="733874911"/>
      </c:barChart>
      <c:catAx>
        <c:axId val="73387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874911"/>
        <c:crosses val="autoZero"/>
        <c:auto val="1"/>
        <c:lblAlgn val="ctr"/>
        <c:lblOffset val="100"/>
        <c:noMultiLvlLbl val="0"/>
      </c:catAx>
      <c:valAx>
        <c:axId val="73387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87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challenge edited.xlsm]Pivot chart_Sub-category!PivotTable1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chart_Sub-category'!$B$4:$B$5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chart_Sub-category'!$A$6:$A$30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chart_Sub-category'!$B$6:$B$30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4-4D95-95D4-71A550D59004}"/>
            </c:ext>
          </c:extLst>
        </c:ser>
        <c:ser>
          <c:idx val="1"/>
          <c:order val="1"/>
          <c:tx>
            <c:strRef>
              <c:f>'Pivot chart_Sub-category'!$C$4:$C$5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chart_Sub-category'!$A$6:$A$30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chart_Sub-category'!$C$6:$C$30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4-4D95-95D4-71A550D59004}"/>
            </c:ext>
          </c:extLst>
        </c:ser>
        <c:ser>
          <c:idx val="2"/>
          <c:order val="2"/>
          <c:tx>
            <c:strRef>
              <c:f>'Pivot chart_Sub-category'!$D$4:$D$5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chart_Sub-category'!$A$6:$A$30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chart_Sub-category'!$D$6:$D$30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B4-4D95-95D4-71A550D59004}"/>
            </c:ext>
          </c:extLst>
        </c:ser>
        <c:ser>
          <c:idx val="3"/>
          <c:order val="3"/>
          <c:tx>
            <c:strRef>
              <c:f>'Pivot chart_Sub-category'!$E$4:$E$5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chart_Sub-category'!$A$6:$A$30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chart_Sub-category'!$E$6:$E$30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B4-4D95-95D4-71A550D59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6799647"/>
        <c:axId val="736798687"/>
      </c:barChart>
      <c:catAx>
        <c:axId val="73679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98687"/>
        <c:crosses val="autoZero"/>
        <c:auto val="1"/>
        <c:lblAlgn val="ctr"/>
        <c:lblOffset val="100"/>
        <c:noMultiLvlLbl val="0"/>
      </c:catAx>
      <c:valAx>
        <c:axId val="73679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9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challenge edited.xlsm]Pivot chart_Date!PivotTable1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chart_Date'!$B$4:$B$5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chart_Date'!$A$6:$A$18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chart_Date'!$B$6:$B$18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6-4BC1-BC80-8DE11ED9A4A9}"/>
            </c:ext>
          </c:extLst>
        </c:ser>
        <c:ser>
          <c:idx val="1"/>
          <c:order val="1"/>
          <c:tx>
            <c:strRef>
              <c:f>'Pivot chart_Date'!$C$4:$C$5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chart_Date'!$A$6:$A$18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chart_Date'!$C$6:$C$18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06-4BC1-BC80-8DE11ED9A4A9}"/>
            </c:ext>
          </c:extLst>
        </c:ser>
        <c:ser>
          <c:idx val="2"/>
          <c:order val="2"/>
          <c:tx>
            <c:strRef>
              <c:f>'Pivot chart_Date'!$D$4:$D$5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chart_Date'!$A$6:$A$18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chart_Date'!$D$6:$D$18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06-4BC1-BC80-8DE11ED9A4A9}"/>
            </c:ext>
          </c:extLst>
        </c:ser>
        <c:ser>
          <c:idx val="3"/>
          <c:order val="3"/>
          <c:tx>
            <c:strRef>
              <c:f>'Pivot chart_Date'!$E$4:$E$5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chart_Date'!$A$6:$A$18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chart_Date'!$E$6:$E$18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06-4BC1-BC80-8DE11ED9A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919775"/>
        <c:axId val="312926975"/>
      </c:lineChart>
      <c:catAx>
        <c:axId val="31291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26975"/>
        <c:crosses val="autoZero"/>
        <c:auto val="1"/>
        <c:lblAlgn val="ctr"/>
        <c:lblOffset val="100"/>
        <c:noMultiLvlLbl val="0"/>
      </c:catAx>
      <c:valAx>
        <c:axId val="31292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1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Outcomes Based</a:t>
            </a:r>
            <a:r>
              <a:rPr lang="en-AU" baseline="0"/>
              <a:t> on Goal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A-4DA2-9015-0F06B6757FF3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BA-4DA2-9015-0F06B6757FF3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BA-4DA2-9015-0F06B6757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271439"/>
        <c:axId val="535272399"/>
      </c:lineChart>
      <c:catAx>
        <c:axId val="53527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2399"/>
        <c:crosses val="autoZero"/>
        <c:auto val="1"/>
        <c:lblAlgn val="ctr"/>
        <c:lblOffset val="100"/>
        <c:noMultiLvlLbl val="0"/>
      </c:catAx>
      <c:valAx>
        <c:axId val="53527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0</xdr:row>
      <xdr:rowOff>76200</xdr:rowOff>
    </xdr:from>
    <xdr:to>
      <xdr:col>14</xdr:col>
      <xdr:colOff>104774</xdr:colOff>
      <xdr:row>19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E3398B-C584-A4F8-62FC-29735274A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881062</xdr:colOff>
      <xdr:row>30</xdr:row>
      <xdr:rowOff>133349</xdr:rowOff>
    </xdr:from>
    <xdr:to>
      <xdr:col>11</xdr:col>
      <xdr:colOff>438150</xdr:colOff>
      <xdr:row>53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010014-D49D-BEC5-0377-A44CE3F50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1719261</xdr:colOff>
      <xdr:row>19</xdr:row>
      <xdr:rowOff>28574</xdr:rowOff>
    </xdr:from>
    <xdr:to>
      <xdr:col>10</xdr:col>
      <xdr:colOff>9524</xdr:colOff>
      <xdr:row>38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26D432-0C03-DB9D-3186-14AAD28E8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1233486</xdr:colOff>
      <xdr:row>14</xdr:row>
      <xdr:rowOff>152400</xdr:rowOff>
    </xdr:from>
    <xdr:to>
      <xdr:col>8</xdr:col>
      <xdr:colOff>19049</xdr:colOff>
      <xdr:row>31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784B13-D02B-6576-2B97-2C621F15C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c" refreshedDate="45031.670559375001" createdVersion="8" refreshedVersion="8" minRefreshableVersion="3" recordCount="1000" xr:uid="{310F339F-9F9E-4FEE-BBAA-ADF09C97E6CF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 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" refreshedDate="45031.725027199071" backgroundQuery="1" createdVersion="8" refreshedVersion="8" minRefreshableVersion="3" recordCount="0" supportSubquery="1" supportAdvancedDrill="1" xr:uid="{3CF07F3E-EA5E-4F67-BAF0-7F72FC63F626}">
  <cacheSource type="external" connectionId="1"/>
  <cacheFields count="6">
    <cacheField name="[Range].[Date Created Conversion].[Date Created Conversion]" caption="Date Created Conversion" numFmtId="0" hierarchy="13" level="1">
      <sharedItems containsSemiMixedTypes="0" containsNonDate="0" containsDate="1" containsString="0" minDate="2010-12-02T06:00:00" maxDate="2019-12-31T06:00:00" count="74">
        <d v="2010-12-02T06:00:00"/>
        <d v="2010-12-03T06:00:00"/>
        <d v="2010-12-10T06:00:00"/>
        <d v="2010-12-13T06:00:00"/>
        <d v="2010-12-15T06:00:00"/>
        <d v="2010-12-19T06:00:00"/>
        <d v="2010-12-22T06:00:00"/>
        <d v="2011-12-01T06:00:00"/>
        <d v="2011-12-03T06:00:00"/>
        <d v="2011-12-08T06:00:00"/>
        <d v="2011-12-12T06:00:00"/>
        <d v="2011-12-19T06:00:00"/>
        <d v="2011-12-21T06:00:00"/>
        <d v="2011-12-22T06:00:00"/>
        <d v="2011-12-23T06:00:00"/>
        <d v="2011-12-27T06:00:00"/>
        <d v="2012-12-01T06:00:00"/>
        <d v="2012-12-08T06:00:00"/>
        <d v="2012-12-09T06:00:00"/>
        <d v="2012-12-16T06:00:00"/>
        <d v="2012-12-18T06:00:00"/>
        <d v="2013-12-06T06:00:00"/>
        <d v="2013-12-11T06:00:00"/>
        <d v="2013-12-17T06:00:00"/>
        <d v="2013-12-29T06:00:00"/>
        <d v="2013-12-30T06:00:00"/>
        <d v="2013-12-31T06:00:00"/>
        <d v="2014-12-02T06:00:00"/>
        <d v="2014-12-12T06:00:00"/>
        <d v="2014-12-15T06:00:00"/>
        <d v="2014-12-16T06:00:00"/>
        <d v="2014-12-18T06:00:00"/>
        <d v="2014-12-20T06:00:00"/>
        <d v="2014-12-21T06:00:00"/>
        <d v="2014-12-28T06:00:00"/>
        <d v="2014-12-31T06:00:00"/>
        <d v="2015-12-07T06:00:00"/>
        <d v="2015-12-08T06:00:00"/>
        <d v="2015-12-20T06:00:00"/>
        <d v="2015-12-22T06:00:00"/>
        <d v="2015-12-24T06:00:00"/>
        <d v="2015-12-26T06:00:00"/>
        <d v="2016-12-01T06:00:00"/>
        <d v="2016-12-08T06:00:00"/>
        <d v="2016-12-11T06:00:00"/>
        <d v="2016-12-12T06:00:00"/>
        <d v="2016-12-19T06:00:00"/>
        <d v="2016-12-20T06:00:00"/>
        <d v="2016-12-22T06:00:00"/>
        <d v="2016-12-26T06:00:00"/>
        <d v="2016-12-29T06:00:00"/>
        <d v="2017-12-08T06:00:00"/>
        <d v="2017-12-14T06:00:00"/>
        <d v="2017-12-19T06:00:00"/>
        <d v="2017-12-22T06:00:00"/>
        <d v="2017-12-25T06:00:00"/>
        <d v="2017-12-27T06:00:00"/>
        <d v="2017-12-28T06:00:00"/>
        <d v="2018-12-08T06:00:00"/>
        <d v="2018-12-09T06:00:00"/>
        <d v="2018-12-16T06:00:00"/>
        <d v="2018-12-17T06:00:00"/>
        <d v="2018-12-18T06:00:00"/>
        <d v="2018-12-30T06:00:00"/>
        <d v="2019-12-06T06:00:00"/>
        <d v="2019-12-07T06:00:00"/>
        <d v="2019-12-10T06:00:00"/>
        <d v="2019-12-12T06:00:00"/>
        <d v="2019-12-14T06:00:00"/>
        <d v="2019-12-15T06:00:00"/>
        <d v="2019-12-16T06:00:00"/>
        <d v="2019-12-22T06:00:00"/>
        <d v="2019-12-25T06:00:00"/>
        <d v="2019-12-31T06:00:00"/>
      </sharedItems>
      <extLst>
        <ext xmlns:x15="http://schemas.microsoft.com/office/spreadsheetml/2010/11/main" uri="{4F2E5C28-24EA-4eb8-9CBF-B6C8F9C3D259}">
          <x15:cachedUniqueNames>
            <x15:cachedUniqueName index="0" name="[Range].[Date Created Conversion].&amp;[2010-12-02T06:00:00]"/>
            <x15:cachedUniqueName index="1" name="[Range].[Date Created Conversion].&amp;[2010-12-03T06:00:00]"/>
            <x15:cachedUniqueName index="2" name="[Range].[Date Created Conversion].&amp;[2010-12-10T06:00:00]"/>
            <x15:cachedUniqueName index="3" name="[Range].[Date Created Conversion].&amp;[2010-12-13T06:00:00]"/>
            <x15:cachedUniqueName index="4" name="[Range].[Date Created Conversion].&amp;[2010-12-15T06:00:00]"/>
            <x15:cachedUniqueName index="5" name="[Range].[Date Created Conversion].&amp;[2010-12-19T06:00:00]"/>
            <x15:cachedUniqueName index="6" name="[Range].[Date Created Conversion].&amp;[2010-12-22T06:00:00]"/>
            <x15:cachedUniqueName index="7" name="[Range].[Date Created Conversion].&amp;[2011-12-01T06:00:00]"/>
            <x15:cachedUniqueName index="8" name="[Range].[Date Created Conversion].&amp;[2011-12-03T06:00:00]"/>
            <x15:cachedUniqueName index="9" name="[Range].[Date Created Conversion].&amp;[2011-12-08T06:00:00]"/>
            <x15:cachedUniqueName index="10" name="[Range].[Date Created Conversion].&amp;[2011-12-12T06:00:00]"/>
            <x15:cachedUniqueName index="11" name="[Range].[Date Created Conversion].&amp;[2011-12-19T06:00:00]"/>
            <x15:cachedUniqueName index="12" name="[Range].[Date Created Conversion].&amp;[2011-12-21T06:00:00]"/>
            <x15:cachedUniqueName index="13" name="[Range].[Date Created Conversion].&amp;[2011-12-22T06:00:00]"/>
            <x15:cachedUniqueName index="14" name="[Range].[Date Created Conversion].&amp;[2011-12-23T06:00:00]"/>
            <x15:cachedUniqueName index="15" name="[Range].[Date Created Conversion].&amp;[2011-12-27T06:00:00]"/>
            <x15:cachedUniqueName index="16" name="[Range].[Date Created Conversion].&amp;[2012-12-01T06:00:00]"/>
            <x15:cachedUniqueName index="17" name="[Range].[Date Created Conversion].&amp;[2012-12-08T06:00:00]"/>
            <x15:cachedUniqueName index="18" name="[Range].[Date Created Conversion].&amp;[2012-12-09T06:00:00]"/>
            <x15:cachedUniqueName index="19" name="[Range].[Date Created Conversion].&amp;[2012-12-16T06:00:00]"/>
            <x15:cachedUniqueName index="20" name="[Range].[Date Created Conversion].&amp;[2012-12-18T06:00:00]"/>
            <x15:cachedUniqueName index="21" name="[Range].[Date Created Conversion].&amp;[2013-12-06T06:00:00]"/>
            <x15:cachedUniqueName index="22" name="[Range].[Date Created Conversion].&amp;[2013-12-11T06:00:00]"/>
            <x15:cachedUniqueName index="23" name="[Range].[Date Created Conversion].&amp;[2013-12-17T06:00:00]"/>
            <x15:cachedUniqueName index="24" name="[Range].[Date Created Conversion].&amp;[2013-12-29T06:00:00]"/>
            <x15:cachedUniqueName index="25" name="[Range].[Date Created Conversion].&amp;[2013-12-30T06:00:00]"/>
            <x15:cachedUniqueName index="26" name="[Range].[Date Created Conversion].&amp;[2013-12-31T06:00:00]"/>
            <x15:cachedUniqueName index="27" name="[Range].[Date Created Conversion].&amp;[2014-12-02T06:00:00]"/>
            <x15:cachedUniqueName index="28" name="[Range].[Date Created Conversion].&amp;[2014-12-12T06:00:00]"/>
            <x15:cachedUniqueName index="29" name="[Range].[Date Created Conversion].&amp;[2014-12-15T06:00:00]"/>
            <x15:cachedUniqueName index="30" name="[Range].[Date Created Conversion].&amp;[2014-12-16T06:00:00]"/>
            <x15:cachedUniqueName index="31" name="[Range].[Date Created Conversion].&amp;[2014-12-18T06:00:00]"/>
            <x15:cachedUniqueName index="32" name="[Range].[Date Created Conversion].&amp;[2014-12-20T06:00:00]"/>
            <x15:cachedUniqueName index="33" name="[Range].[Date Created Conversion].&amp;[2014-12-21T06:00:00]"/>
            <x15:cachedUniqueName index="34" name="[Range].[Date Created Conversion].&amp;[2014-12-28T06:00:00]"/>
            <x15:cachedUniqueName index="35" name="[Range].[Date Created Conversion].&amp;[2014-12-31T06:00:00]"/>
            <x15:cachedUniqueName index="36" name="[Range].[Date Created Conversion].&amp;[2015-12-07T06:00:00]"/>
            <x15:cachedUniqueName index="37" name="[Range].[Date Created Conversion].&amp;[2015-12-08T06:00:00]"/>
            <x15:cachedUniqueName index="38" name="[Range].[Date Created Conversion].&amp;[2015-12-20T06:00:00]"/>
            <x15:cachedUniqueName index="39" name="[Range].[Date Created Conversion].&amp;[2015-12-22T06:00:00]"/>
            <x15:cachedUniqueName index="40" name="[Range].[Date Created Conversion].&amp;[2015-12-24T06:00:00]"/>
            <x15:cachedUniqueName index="41" name="[Range].[Date Created Conversion].&amp;[2015-12-26T06:00:00]"/>
            <x15:cachedUniqueName index="42" name="[Range].[Date Created Conversion].&amp;[2016-12-01T06:00:00]"/>
            <x15:cachedUniqueName index="43" name="[Range].[Date Created Conversion].&amp;[2016-12-08T06:00:00]"/>
            <x15:cachedUniqueName index="44" name="[Range].[Date Created Conversion].&amp;[2016-12-11T06:00:00]"/>
            <x15:cachedUniqueName index="45" name="[Range].[Date Created Conversion].&amp;[2016-12-12T06:00:00]"/>
            <x15:cachedUniqueName index="46" name="[Range].[Date Created Conversion].&amp;[2016-12-19T06:00:00]"/>
            <x15:cachedUniqueName index="47" name="[Range].[Date Created Conversion].&amp;[2016-12-20T06:00:00]"/>
            <x15:cachedUniqueName index="48" name="[Range].[Date Created Conversion].&amp;[2016-12-22T06:00:00]"/>
            <x15:cachedUniqueName index="49" name="[Range].[Date Created Conversion].&amp;[2016-12-26T06:00:00]"/>
            <x15:cachedUniqueName index="50" name="[Range].[Date Created Conversion].&amp;[2016-12-29T06:00:00]"/>
            <x15:cachedUniqueName index="51" name="[Range].[Date Created Conversion].&amp;[2017-12-08T06:00:00]"/>
            <x15:cachedUniqueName index="52" name="[Range].[Date Created Conversion].&amp;[2017-12-14T06:00:00]"/>
            <x15:cachedUniqueName index="53" name="[Range].[Date Created Conversion].&amp;[2017-12-19T06:00:00]"/>
            <x15:cachedUniqueName index="54" name="[Range].[Date Created Conversion].&amp;[2017-12-22T06:00:00]"/>
            <x15:cachedUniqueName index="55" name="[Range].[Date Created Conversion].&amp;[2017-12-25T06:00:00]"/>
            <x15:cachedUniqueName index="56" name="[Range].[Date Created Conversion].&amp;[2017-12-27T06:00:00]"/>
            <x15:cachedUniqueName index="57" name="[Range].[Date Created Conversion].&amp;[2017-12-28T06:00:00]"/>
            <x15:cachedUniqueName index="58" name="[Range].[Date Created Conversion].&amp;[2018-12-08T06:00:00]"/>
            <x15:cachedUniqueName index="59" name="[Range].[Date Created Conversion].&amp;[2018-12-09T06:00:00]"/>
            <x15:cachedUniqueName index="60" name="[Range].[Date Created Conversion].&amp;[2018-12-16T06:00:00]"/>
            <x15:cachedUniqueName index="61" name="[Range].[Date Created Conversion].&amp;[2018-12-17T06:00:00]"/>
            <x15:cachedUniqueName index="62" name="[Range].[Date Created Conversion].&amp;[2018-12-18T06:00:00]"/>
            <x15:cachedUniqueName index="63" name="[Range].[Date Created Conversion].&amp;[2018-12-30T06:00:00]"/>
            <x15:cachedUniqueName index="64" name="[Range].[Date Created Conversion].&amp;[2019-12-06T06:00:00]"/>
            <x15:cachedUniqueName index="65" name="[Range].[Date Created Conversion].&amp;[2019-12-07T06:00:00]"/>
            <x15:cachedUniqueName index="66" name="[Range].[Date Created Conversion].&amp;[2019-12-10T06:00:00]"/>
            <x15:cachedUniqueName index="67" name="[Range].[Date Created Conversion].&amp;[2019-12-12T06:00:00]"/>
            <x15:cachedUniqueName index="68" name="[Range].[Date Created Conversion].&amp;[2019-12-14T06:00:00]"/>
            <x15:cachedUniqueName index="69" name="[Range].[Date Created Conversion].&amp;[2019-12-15T06:00:00]"/>
            <x15:cachedUniqueName index="70" name="[Range].[Date Created Conversion].&amp;[2019-12-16T06:00:00]"/>
            <x15:cachedUniqueName index="71" name="[Range].[Date Created Conversion].&amp;[2019-12-22T06:00:00]"/>
            <x15:cachedUniqueName index="72" name="[Range].[Date Created Conversion].&amp;[2019-12-25T06:00:00]"/>
            <x15:cachedUniqueName index="73" name="[Range].[Date Created Conversion].&amp;[2019-12-31T06:00:00]"/>
          </x15:cachedUniqueNames>
        </ext>
      </extLst>
    </cacheField>
    <cacheField name="[Range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Range].[Date Created Conversion (Year)].[Date Created Conversion (Year)]" caption="Date Created Conversion (Year)" numFmtId="0" hierarchy="20" level="1">
      <sharedItems containsSemiMixedTypes="0" containsNonDate="0" containsString="0"/>
    </cacheField>
    <cacheField name="[Range].[Parent category].[Parent category]" caption="Parent category" numFmtId="0" hierarchy="18" level="1">
      <sharedItems containsSemiMixedTypes="0" containsNonDate="0" containsString="0"/>
    </cacheField>
    <cacheField name="[Measures].[Count of outcome]" caption="Count of outcome" numFmtId="0" hierarchy="26" level="32767"/>
  </cacheFields>
  <cacheHierarchies count="2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20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2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2" memberValueDatatype="7" unbalanced="0">
      <fieldsUsage count="2">
        <fieldUsage x="-1"/>
        <fieldUsage x="0"/>
      </fieldsUsage>
    </cacheHierarchy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4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2" memberValueDatatype="130" unbalanced="0">
      <fieldsUsage count="2">
        <fieldUsage x="-1"/>
        <fieldUsage x="3"/>
      </fieldsUsage>
    </cacheHierarchy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0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2" memberValueDatatype="130" unbalanced="0">
      <fieldsUsage count="2">
        <fieldUsage x="-1"/>
        <fieldUsage x="1"/>
      </fieldsUsage>
    </cacheHierarchy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31"/>
    <x v="1"/>
    <n v="1425"/>
    <n v="100.02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59"/>
    <x v="0"/>
    <n v="24"/>
    <n v="103.21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69"/>
    <x v="0"/>
    <n v="53"/>
    <n v="99.34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74"/>
    <x v="1"/>
    <n v="174"/>
    <n v="75.83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21"/>
    <x v="0"/>
    <n v="18"/>
    <n v="60.56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28"/>
    <x v="1"/>
    <n v="227"/>
    <n v="64.94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20"/>
    <x v="2"/>
    <n v="708"/>
    <n v="31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52"/>
    <x v="0"/>
    <n v="44"/>
    <n v="72.91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48"/>
    <x v="0"/>
    <n v="27"/>
    <n v="112.22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89"/>
    <x v="0"/>
    <n v="55"/>
    <n v="102.35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45"/>
    <x v="1"/>
    <n v="98"/>
    <n v="105.05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67"/>
    <x v="0"/>
    <n v="200"/>
    <n v="94.15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47"/>
    <x v="0"/>
    <n v="452"/>
    <n v="84.99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59"/>
    <x v="1"/>
    <n v="1249"/>
    <n v="107.96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67"/>
    <x v="3"/>
    <n v="135"/>
    <n v="45.1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49"/>
    <x v="0"/>
    <n v="674"/>
    <n v="45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12"/>
    <x v="1"/>
    <n v="1396"/>
    <n v="105.97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41"/>
    <x v="0"/>
    <n v="558"/>
    <n v="69.06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28"/>
    <x v="1"/>
    <n v="890"/>
    <n v="85.04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32"/>
    <x v="1"/>
    <n v="142"/>
    <n v="105.23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13"/>
    <x v="1"/>
    <n v="2673"/>
    <n v="39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16"/>
    <x v="1"/>
    <n v="163"/>
    <n v="73.03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48"/>
    <x v="3"/>
    <n v="1480"/>
    <n v="35.01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05"/>
    <x v="1"/>
    <n v="2220"/>
    <n v="62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29"/>
    <x v="1"/>
    <n v="1606"/>
    <n v="94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61"/>
    <x v="1"/>
    <n v="129"/>
    <n v="112.05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1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87"/>
    <x v="0"/>
    <n v="2307"/>
    <n v="38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78"/>
    <x v="1"/>
    <n v="5419"/>
    <n v="35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50"/>
    <x v="1"/>
    <n v="1965"/>
    <n v="95.99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57"/>
    <x v="1"/>
    <n v="16"/>
    <n v="68.81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40"/>
    <x v="1"/>
    <n v="107"/>
    <n v="105.97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25"/>
    <x v="1"/>
    <n v="134"/>
    <n v="75.260000000000005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51"/>
    <x v="0"/>
    <n v="88"/>
    <n v="57.13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69"/>
    <x v="1"/>
    <n v="198"/>
    <n v="75.14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13"/>
    <x v="1"/>
    <n v="111"/>
    <n v="107.42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44"/>
    <x v="1"/>
    <n v="222"/>
    <n v="36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86"/>
    <x v="1"/>
    <n v="6212"/>
    <n v="27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59"/>
    <x v="1"/>
    <n v="98"/>
    <n v="107.56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48"/>
    <x v="0"/>
    <n v="48"/>
    <n v="94.38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15"/>
    <x v="1"/>
    <n v="92"/>
    <n v="46.16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75"/>
    <x v="1"/>
    <n v="149"/>
    <n v="47.85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87"/>
    <x v="1"/>
    <n v="2431"/>
    <n v="53.01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90"/>
    <x v="1"/>
    <n v="303"/>
    <n v="45.06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92"/>
    <x v="0"/>
    <n v="1467"/>
    <n v="99.01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34"/>
    <x v="0"/>
    <n v="75"/>
    <n v="32.79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40"/>
    <x v="1"/>
    <n v="209"/>
    <n v="59.12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90"/>
    <x v="0"/>
    <n v="120"/>
    <n v="44.93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78"/>
    <x v="1"/>
    <n v="131"/>
    <n v="89.66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44"/>
    <x v="1"/>
    <n v="164"/>
    <n v="70.08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15"/>
    <x v="1"/>
    <n v="201"/>
    <n v="31.06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27"/>
    <x v="1"/>
    <n v="211"/>
    <n v="29.06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75"/>
    <x v="1"/>
    <n v="128"/>
    <n v="30.09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44"/>
    <x v="1"/>
    <n v="1600"/>
    <n v="85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93"/>
    <x v="0"/>
    <n v="2253"/>
    <n v="82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23"/>
    <x v="1"/>
    <n v="249"/>
    <n v="58.04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98"/>
    <x v="0"/>
    <n v="38"/>
    <n v="71.95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36"/>
    <x v="1"/>
    <n v="236"/>
    <n v="61.04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45"/>
    <x v="0"/>
    <n v="12"/>
    <n v="108.92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62"/>
    <x v="1"/>
    <n v="4065"/>
    <n v="29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55"/>
    <x v="1"/>
    <n v="246"/>
    <n v="58.98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24"/>
    <x v="3"/>
    <n v="17"/>
    <n v="111.82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24"/>
    <x v="1"/>
    <n v="2475"/>
    <n v="64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08"/>
    <x v="1"/>
    <n v="76"/>
    <n v="85.32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70"/>
    <x v="1"/>
    <n v="54"/>
    <n v="74.48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61"/>
    <x v="1"/>
    <n v="88"/>
    <n v="105.15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22"/>
    <x v="1"/>
    <n v="85"/>
    <n v="56.19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51"/>
    <x v="1"/>
    <n v="170"/>
    <n v="85.92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78"/>
    <x v="0"/>
    <n v="1684"/>
    <n v="57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47"/>
    <x v="0"/>
    <n v="56"/>
    <n v="79.64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1"/>
    <x v="1"/>
    <n v="330"/>
    <n v="41.02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70"/>
    <x v="0"/>
    <n v="838"/>
    <n v="48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37"/>
    <x v="1"/>
    <n v="127"/>
    <n v="55.21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25"/>
    <x v="1"/>
    <n v="411"/>
    <n v="92.11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97"/>
    <x v="1"/>
    <n v="180"/>
    <n v="83.18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38"/>
    <x v="0"/>
    <n v="1000"/>
    <n v="40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32"/>
    <x v="1"/>
    <n v="374"/>
    <n v="111.13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31"/>
    <x v="1"/>
    <n v="71"/>
    <n v="90.56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68"/>
    <x v="1"/>
    <n v="203"/>
    <n v="61.11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62"/>
    <x v="0"/>
    <n v="1482"/>
    <n v="83.02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61"/>
    <x v="1"/>
    <n v="113"/>
    <n v="110.76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53"/>
    <x v="1"/>
    <n v="96"/>
    <n v="89.46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79"/>
    <x v="0"/>
    <n v="106"/>
    <n v="57.85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48"/>
    <x v="0"/>
    <n v="679"/>
    <n v="110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59"/>
    <x v="1"/>
    <n v="498"/>
    <n v="103.97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61"/>
    <x v="3"/>
    <n v="610"/>
    <n v="108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04"/>
    <x v="1"/>
    <n v="180"/>
    <n v="48.93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13"/>
    <x v="1"/>
    <n v="27"/>
    <n v="37.67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17"/>
    <x v="1"/>
    <n v="2331"/>
    <n v="65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27"/>
    <x v="1"/>
    <n v="113"/>
    <n v="106.61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34"/>
    <x v="0"/>
    <n v="1220"/>
    <n v="27.01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97"/>
    <x v="1"/>
    <n v="164"/>
    <n v="91.16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21"/>
    <x v="1"/>
    <n v="164"/>
    <n v="56.05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82"/>
    <x v="1"/>
    <n v="336"/>
    <n v="31.0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25"/>
    <x v="0"/>
    <n v="37"/>
    <n v="66.510000000000005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43"/>
    <x v="1"/>
    <n v="1917"/>
    <n v="89.01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45"/>
    <x v="1"/>
    <n v="95"/>
    <n v="103.46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59"/>
    <x v="1"/>
    <n v="147"/>
    <n v="95.28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86"/>
    <x v="1"/>
    <n v="86"/>
    <n v="75.900000000000006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95"/>
    <x v="1"/>
    <n v="83"/>
    <n v="107.58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59"/>
    <x v="0"/>
    <n v="60"/>
    <n v="51.32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5"/>
    <x v="0"/>
    <n v="296"/>
    <n v="71.98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20"/>
    <x v="1"/>
    <n v="676"/>
    <n v="108.95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77"/>
    <x v="1"/>
    <n v="131"/>
    <n v="94.94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27"/>
    <x v="1"/>
    <n v="126"/>
    <n v="109.65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87"/>
    <x v="0"/>
    <n v="3304"/>
    <n v="44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74"/>
    <x v="1"/>
    <n v="275"/>
    <n v="30.99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18"/>
    <x v="1"/>
    <n v="67"/>
    <n v="94.79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15"/>
    <x v="1"/>
    <n v="154"/>
    <n v="69.790000000000006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49"/>
    <x v="1"/>
    <n v="1782"/>
    <n v="63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19"/>
    <x v="1"/>
    <n v="903"/>
    <n v="110.03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64"/>
    <x v="0"/>
    <n v="3387"/>
    <n v="26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19"/>
    <x v="0"/>
    <n v="662"/>
    <n v="49.99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68"/>
    <x v="1"/>
    <n v="94"/>
    <n v="101.72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60"/>
    <x v="1"/>
    <n v="180"/>
    <n v="47.08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39"/>
    <x v="0"/>
    <n v="774"/>
    <n v="89.94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51"/>
    <x v="0"/>
    <n v="672"/>
    <n v="78.97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60"/>
    <x v="3"/>
    <n v="532"/>
    <n v="80.069999999999993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"/>
    <x v="3"/>
    <n v="55"/>
    <n v="86.47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55"/>
    <x v="1"/>
    <n v="533"/>
    <n v="28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1"/>
    <x v="1"/>
    <n v="2443"/>
    <n v="68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16"/>
    <x v="1"/>
    <n v="89"/>
    <n v="43.08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11"/>
    <x v="1"/>
    <n v="159"/>
    <n v="87.96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90"/>
    <x v="0"/>
    <n v="940"/>
    <n v="94.99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71"/>
    <x v="0"/>
    <n v="117"/>
    <n v="46.91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"/>
    <x v="3"/>
    <n v="58"/>
    <n v="46.91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4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21"/>
    <x v="0"/>
    <n v="326"/>
    <n v="59.04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23"/>
    <x v="1"/>
    <n v="186"/>
    <n v="65.989999999999995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02"/>
    <x v="1"/>
    <n v="1071"/>
    <n v="60.99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30"/>
    <x v="1"/>
    <n v="117"/>
    <n v="98.31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29"/>
    <x v="1"/>
    <n v="135"/>
    <n v="86.07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37"/>
    <x v="1"/>
    <n v="768"/>
    <n v="76.989999999999995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17"/>
    <x v="3"/>
    <n v="51"/>
    <n v="29.76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12"/>
    <x v="1"/>
    <n v="199"/>
    <n v="46.92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21"/>
    <x v="1"/>
    <n v="107"/>
    <n v="105.19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20"/>
    <x v="1"/>
    <n v="195"/>
    <n v="69.91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64"/>
    <x v="0"/>
    <n v="1467"/>
    <n v="60.01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23"/>
    <x v="1"/>
    <n v="3376"/>
    <n v="52.01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93"/>
    <x v="0"/>
    <n v="5681"/>
    <n v="31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59"/>
    <x v="0"/>
    <n v="1059"/>
    <n v="95.04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65"/>
    <x v="0"/>
    <n v="1194"/>
    <n v="75.97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74"/>
    <x v="3"/>
    <n v="379"/>
    <n v="71.010000000000005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53"/>
    <x v="0"/>
    <n v="30"/>
    <n v="73.73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21"/>
    <x v="1"/>
    <n v="41"/>
    <n v="113.1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00"/>
    <x v="1"/>
    <n v="1821"/>
    <n v="105.01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62"/>
    <x v="1"/>
    <n v="164"/>
    <n v="79.180000000000007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78"/>
    <x v="0"/>
    <n v="75"/>
    <n v="57.33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50"/>
    <x v="1"/>
    <n v="157"/>
    <n v="58.18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53"/>
    <x v="1"/>
    <n v="246"/>
    <n v="36.03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00"/>
    <x v="1"/>
    <n v="1396"/>
    <n v="107.99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22"/>
    <x v="1"/>
    <n v="2506"/>
    <n v="44.01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37"/>
    <x v="1"/>
    <n v="244"/>
    <n v="55.08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31"/>
    <x v="0"/>
    <n v="955"/>
    <n v="42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24"/>
    <x v="1"/>
    <n v="1267"/>
    <n v="77.989999999999995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3"/>
    <x v="0"/>
    <n v="67"/>
    <n v="82.51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63"/>
    <x v="1"/>
    <n v="1561"/>
    <n v="100.98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95"/>
    <x v="1"/>
    <n v="48"/>
    <n v="111.8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26"/>
    <x v="0"/>
    <n v="1130"/>
    <n v="42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75"/>
    <x v="0"/>
    <n v="782"/>
    <n v="110.05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16"/>
    <x v="1"/>
    <n v="2739"/>
    <n v="59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96"/>
    <x v="0"/>
    <n v="210"/>
    <n v="32.99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58"/>
    <x v="1"/>
    <n v="3537"/>
    <n v="45.01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08"/>
    <x v="1"/>
    <n v="2107"/>
    <n v="81.98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62"/>
    <x v="0"/>
    <n v="136"/>
    <n v="39.08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22"/>
    <x v="1"/>
    <n v="3318"/>
    <n v="59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69"/>
    <x v="0"/>
    <n v="86"/>
    <n v="40.99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93"/>
    <x v="1"/>
    <n v="340"/>
    <n v="31.03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72"/>
    <x v="0"/>
    <n v="19"/>
    <n v="37.79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32"/>
    <x v="0"/>
    <n v="886"/>
    <n v="32.01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30"/>
    <x v="1"/>
    <n v="1442"/>
    <n v="95.97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24"/>
    <x v="3"/>
    <n v="441"/>
    <n v="102.05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38"/>
    <x v="0"/>
    <n v="86"/>
    <n v="37.07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20"/>
    <x v="0"/>
    <n v="243"/>
    <n v="35.049999999999997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46"/>
    <x v="0"/>
    <n v="65"/>
    <n v="46.34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23"/>
    <x v="1"/>
    <n v="126"/>
    <n v="69.17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62"/>
    <x v="1"/>
    <n v="524"/>
    <n v="109.08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98"/>
    <x v="1"/>
    <n v="1989"/>
    <n v="82.01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10"/>
    <x v="0"/>
    <n v="168"/>
    <n v="35.96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54"/>
    <x v="0"/>
    <n v="13"/>
    <n v="74.459999999999994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81"/>
    <x v="1"/>
    <n v="157"/>
    <n v="91.11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79"/>
    <x v="3"/>
    <n v="82"/>
    <n v="79.790000000000006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34"/>
    <x v="1"/>
    <n v="4498"/>
    <n v="43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"/>
    <x v="0"/>
    <n v="40"/>
    <n v="63.23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32"/>
    <x v="1"/>
    <n v="80"/>
    <n v="70.180000000000007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39"/>
    <x v="3"/>
    <n v="57"/>
    <n v="61.33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01"/>
    <x v="1"/>
    <n v="2053"/>
    <n v="96.98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21"/>
    <x v="2"/>
    <n v="808"/>
    <n v="51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67"/>
    <x v="0"/>
    <n v="226"/>
    <n v="28.04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95"/>
    <x v="0"/>
    <n v="1625"/>
    <n v="60.98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52"/>
    <x v="1"/>
    <n v="168"/>
    <n v="73.209999999999994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95"/>
    <x v="1"/>
    <n v="4289"/>
    <n v="40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23"/>
    <x v="1"/>
    <n v="165"/>
    <n v="86.81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4"/>
    <x v="0"/>
    <n v="143"/>
    <n v="42.13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55"/>
    <x v="1"/>
    <n v="1815"/>
    <n v="103.98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45"/>
    <x v="0"/>
    <n v="934"/>
    <n v="62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16"/>
    <x v="1"/>
    <n v="397"/>
    <n v="31.01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32"/>
    <x v="1"/>
    <n v="1539"/>
    <n v="89.99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"/>
    <x v="0"/>
    <n v="17"/>
    <n v="39.24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99"/>
    <x v="0"/>
    <n v="2179"/>
    <n v="54.99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38"/>
    <x v="1"/>
    <n v="138"/>
    <n v="47.99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94"/>
    <x v="0"/>
    <n v="931"/>
    <n v="87.97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04"/>
    <x v="1"/>
    <n v="3594"/>
    <n v="52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60"/>
    <x v="1"/>
    <n v="5880"/>
    <n v="30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67"/>
    <x v="1"/>
    <n v="112"/>
    <n v="98.21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69"/>
    <x v="1"/>
    <n v="943"/>
    <n v="108.96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20"/>
    <x v="1"/>
    <n v="2468"/>
    <n v="67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94"/>
    <x v="1"/>
    <n v="2551"/>
    <n v="64.989999999999995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20"/>
    <x v="1"/>
    <n v="101"/>
    <n v="99.84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77"/>
    <x v="3"/>
    <n v="67"/>
    <n v="82.43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71"/>
    <x v="1"/>
    <n v="92"/>
    <n v="63.29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58"/>
    <x v="1"/>
    <n v="62"/>
    <n v="96.77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09"/>
    <x v="1"/>
    <n v="149"/>
    <n v="54.91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42"/>
    <x v="0"/>
    <n v="92"/>
    <n v="39.01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11"/>
    <x v="0"/>
    <n v="57"/>
    <n v="75.84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59"/>
    <x v="1"/>
    <n v="329"/>
    <n v="45.05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22"/>
    <x v="1"/>
    <n v="97"/>
    <n v="104.52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98"/>
    <x v="0"/>
    <n v="41"/>
    <n v="76.2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19"/>
    <x v="1"/>
    <n v="1784"/>
    <n v="69.02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02"/>
    <x v="1"/>
    <n v="1684"/>
    <n v="101.98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28"/>
    <x v="1"/>
    <n v="250"/>
    <n v="42.92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45"/>
    <x v="1"/>
    <n v="238"/>
    <n v="43.03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70"/>
    <x v="1"/>
    <n v="53"/>
    <n v="75.25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09"/>
    <x v="1"/>
    <n v="214"/>
    <n v="69.02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26"/>
    <x v="1"/>
    <n v="222"/>
    <n v="65.989999999999995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33"/>
    <x v="1"/>
    <n v="1884"/>
    <n v="98.01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11"/>
    <x v="1"/>
    <n v="218"/>
    <n v="60.11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73"/>
    <x v="1"/>
    <n v="6465"/>
    <n v="26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54"/>
    <x v="0"/>
    <n v="101"/>
    <n v="38.020000000000003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26"/>
    <x v="1"/>
    <n v="59"/>
    <n v="106.15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89"/>
    <x v="0"/>
    <n v="1335"/>
    <n v="81.02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85"/>
    <x v="1"/>
    <n v="88"/>
    <n v="96.65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20"/>
    <x v="1"/>
    <n v="1697"/>
    <n v="57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23"/>
    <x v="0"/>
    <n v="15"/>
    <n v="63.93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6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68"/>
    <x v="1"/>
    <n v="186"/>
    <n v="72.17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98"/>
    <x v="1"/>
    <n v="138"/>
    <n v="77.930000000000007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58"/>
    <x v="1"/>
    <n v="261"/>
    <n v="38.07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31"/>
    <x v="0"/>
    <n v="454"/>
    <n v="57.94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13"/>
    <x v="1"/>
    <n v="107"/>
    <n v="49.79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71"/>
    <x v="1"/>
    <n v="199"/>
    <n v="54.05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63"/>
    <x v="1"/>
    <n v="5512"/>
    <n v="30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23"/>
    <x v="1"/>
    <n v="86"/>
    <n v="70.13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77"/>
    <x v="0"/>
    <n v="3182"/>
    <n v="27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34"/>
    <x v="1"/>
    <n v="2768"/>
    <n v="51.99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81"/>
    <x v="1"/>
    <n v="48"/>
    <n v="56.42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53"/>
    <x v="1"/>
    <n v="87"/>
    <n v="101.63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"/>
    <x v="3"/>
    <n v="1890"/>
    <n v="25.01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"/>
    <x v="2"/>
    <n v="61"/>
    <n v="32.020000000000003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04"/>
    <x v="1"/>
    <n v="1894"/>
    <n v="82.02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37"/>
    <x v="1"/>
    <n v="282"/>
    <n v="37.96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32"/>
    <x v="0"/>
    <n v="15"/>
    <n v="51.53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42"/>
    <x v="1"/>
    <n v="116"/>
    <n v="81.2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97"/>
    <x v="0"/>
    <n v="133"/>
    <n v="40.03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66"/>
    <x v="1"/>
    <n v="83"/>
    <n v="89.94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26"/>
    <x v="1"/>
    <n v="91"/>
    <n v="96.69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71"/>
    <x v="1"/>
    <n v="546"/>
    <n v="25.01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81"/>
    <x v="1"/>
    <n v="393"/>
    <n v="36.99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92"/>
    <x v="0"/>
    <n v="2062"/>
    <n v="73.010000000000005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08"/>
    <x v="1"/>
    <n v="133"/>
    <n v="68.239999999999995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19"/>
    <x v="0"/>
    <n v="29"/>
    <n v="52.31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83"/>
    <x v="0"/>
    <n v="132"/>
    <n v="61.77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06"/>
    <x v="1"/>
    <n v="254"/>
    <n v="25.03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17"/>
    <x v="3"/>
    <n v="184"/>
    <n v="106.29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10"/>
    <x v="1"/>
    <n v="176"/>
    <n v="75.069999999999993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98"/>
    <x v="0"/>
    <n v="137"/>
    <n v="39.97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84"/>
    <x v="1"/>
    <n v="337"/>
    <n v="39.979999999999997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54"/>
    <x v="0"/>
    <n v="908"/>
    <n v="101.02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57"/>
    <x v="1"/>
    <n v="107"/>
    <n v="76.81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16"/>
    <x v="3"/>
    <n v="32"/>
    <n v="33.28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40"/>
    <x v="1"/>
    <n v="183"/>
    <n v="43.92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36"/>
    <x v="0"/>
    <n v="1910"/>
    <n v="36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55"/>
    <x v="0"/>
    <n v="38"/>
    <n v="88.21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94"/>
    <x v="0"/>
    <n v="104"/>
    <n v="65.239999999999995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44"/>
    <x v="1"/>
    <n v="72"/>
    <n v="69.959999999999994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51"/>
    <x v="0"/>
    <n v="49"/>
    <n v="39.880000000000003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45"/>
    <x v="1"/>
    <n v="295"/>
    <n v="41.02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32"/>
    <x v="0"/>
    <n v="245"/>
    <n v="98.91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83"/>
    <x v="0"/>
    <n v="32"/>
    <n v="87.78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46"/>
    <x v="1"/>
    <n v="142"/>
    <n v="80.77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86"/>
    <x v="1"/>
    <n v="85"/>
    <n v="94.28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8"/>
    <x v="0"/>
    <n v="7"/>
    <n v="73.430000000000007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32"/>
    <x v="1"/>
    <n v="659"/>
    <n v="65.97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74"/>
    <x v="0"/>
    <n v="803"/>
    <n v="109.04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20"/>
    <x v="0"/>
    <n v="16"/>
    <n v="99.13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03"/>
    <x v="1"/>
    <n v="121"/>
    <n v="105.88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10"/>
    <x v="1"/>
    <n v="3742"/>
    <n v="49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95"/>
    <x v="1"/>
    <n v="133"/>
    <n v="31.0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34"/>
    <x v="0"/>
    <n v="31"/>
    <n v="103.87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67"/>
    <x v="0"/>
    <n v="108"/>
    <n v="59.27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16"/>
    <x v="0"/>
    <n v="17"/>
    <n v="53.12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39"/>
    <x v="3"/>
    <n v="64"/>
    <n v="50.8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94"/>
    <x v="0"/>
    <n v="2468"/>
    <n v="65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67"/>
    <x v="1"/>
    <n v="5168"/>
    <n v="38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24"/>
    <x v="0"/>
    <n v="26"/>
    <n v="82.62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64"/>
    <x v="1"/>
    <n v="307"/>
    <n v="37.94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91"/>
    <x v="0"/>
    <n v="73"/>
    <n v="80.78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46"/>
    <x v="0"/>
    <n v="128"/>
    <n v="25.98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39"/>
    <x v="0"/>
    <n v="33"/>
    <n v="30.36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34"/>
    <x v="1"/>
    <n v="2441"/>
    <n v="54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23"/>
    <x v="2"/>
    <n v="211"/>
    <n v="101.79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85"/>
    <x v="1"/>
    <n v="1385"/>
    <n v="45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44"/>
    <x v="1"/>
    <n v="190"/>
    <n v="77.069999999999993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200"/>
    <x v="1"/>
    <n v="470"/>
    <n v="88.08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24"/>
    <x v="1"/>
    <n v="253"/>
    <n v="47.04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87"/>
    <x v="1"/>
    <n v="1113"/>
    <n v="111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14"/>
    <x v="1"/>
    <n v="2283"/>
    <n v="87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97"/>
    <x v="0"/>
    <n v="1072"/>
    <n v="63.99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23"/>
    <x v="1"/>
    <n v="1095"/>
    <n v="105.99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79"/>
    <x v="1"/>
    <n v="1690"/>
    <n v="73.989999999999995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80"/>
    <x v="3"/>
    <n v="1297"/>
    <n v="84.02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94"/>
    <x v="0"/>
    <n v="393"/>
    <n v="88.97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85"/>
    <x v="0"/>
    <n v="1257"/>
    <n v="76.989999999999995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67"/>
    <x v="0"/>
    <n v="328"/>
    <n v="97.15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54"/>
    <x v="0"/>
    <n v="147"/>
    <n v="33.01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42"/>
    <x v="0"/>
    <n v="830"/>
    <n v="99.95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15"/>
    <x v="0"/>
    <n v="331"/>
    <n v="69.97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01"/>
    <x v="1"/>
    <n v="191"/>
    <n v="66.01000000000000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72"/>
    <x v="0"/>
    <n v="3483"/>
    <n v="41.01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53"/>
    <x v="0"/>
    <n v="923"/>
    <n v="103.96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28"/>
    <x v="1"/>
    <n v="2013"/>
    <n v="47.01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35"/>
    <x v="0"/>
    <n v="33"/>
    <n v="29.61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11"/>
    <x v="1"/>
    <n v="1703"/>
    <n v="81.010000000000005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59"/>
    <x v="2"/>
    <n v="86"/>
    <n v="26.06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37"/>
    <x v="0"/>
    <n v="40"/>
    <n v="85.78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85"/>
    <x v="1"/>
    <n v="41"/>
    <n v="103.73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12"/>
    <x v="0"/>
    <n v="23"/>
    <n v="49.83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99"/>
    <x v="1"/>
    <n v="187"/>
    <n v="63.89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26"/>
    <x v="1"/>
    <n v="2875"/>
    <n v="47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74"/>
    <x v="1"/>
    <n v="88"/>
    <n v="108.48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72"/>
    <x v="1"/>
    <n v="191"/>
    <n v="72.02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60"/>
    <x v="1"/>
    <n v="139"/>
    <n v="59.93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16"/>
    <x v="1"/>
    <n v="186"/>
    <n v="78.209999999999994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33"/>
    <x v="1"/>
    <n v="112"/>
    <n v="104.78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92"/>
    <x v="1"/>
    <n v="101"/>
    <n v="105.52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19"/>
    <x v="0"/>
    <n v="75"/>
    <n v="24.93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77"/>
    <x v="1"/>
    <n v="206"/>
    <n v="69.87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73"/>
    <x v="1"/>
    <n v="154"/>
    <n v="95.73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59"/>
    <x v="1"/>
    <n v="5966"/>
    <n v="30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68"/>
    <x v="0"/>
    <n v="2176"/>
    <n v="59.01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92"/>
    <x v="1"/>
    <n v="169"/>
    <n v="84.76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30"/>
    <x v="1"/>
    <n v="2106"/>
    <n v="78.010000000000005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13"/>
    <x v="0"/>
    <n v="441"/>
    <n v="50.05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61"/>
    <x v="1"/>
    <n v="131"/>
    <n v="93.7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10"/>
    <x v="0"/>
    <n v="127"/>
    <n v="40.14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14"/>
    <x v="0"/>
    <n v="355"/>
    <n v="70.09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40"/>
    <x v="0"/>
    <n v="44"/>
    <n v="66.180000000000007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60"/>
    <x v="1"/>
    <n v="84"/>
    <n v="47.71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84"/>
    <x v="1"/>
    <n v="155"/>
    <n v="62.9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64"/>
    <x v="0"/>
    <n v="67"/>
    <n v="86.61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25"/>
    <x v="1"/>
    <n v="189"/>
    <n v="75.13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72"/>
    <x v="1"/>
    <n v="4799"/>
    <n v="41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46"/>
    <x v="1"/>
    <n v="1137"/>
    <n v="50.01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76"/>
    <x v="0"/>
    <n v="1068"/>
    <n v="96.96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39"/>
    <x v="0"/>
    <n v="424"/>
    <n v="100.93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11"/>
    <x v="3"/>
    <n v="145"/>
    <n v="89.23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22"/>
    <x v="1"/>
    <n v="1152"/>
    <n v="87.98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"/>
    <x v="0"/>
    <n v="151"/>
    <n v="29.09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66"/>
    <x v="0"/>
    <n v="1608"/>
    <n v="42.01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29"/>
    <x v="1"/>
    <n v="3059"/>
    <n v="47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69"/>
    <x v="1"/>
    <n v="34"/>
    <n v="110.44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30"/>
    <x v="1"/>
    <n v="220"/>
    <n v="41.99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67"/>
    <x v="1"/>
    <n v="1604"/>
    <n v="48.01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74"/>
    <x v="1"/>
    <n v="454"/>
    <n v="31.02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18"/>
    <x v="1"/>
    <n v="123"/>
    <n v="99.2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64"/>
    <x v="0"/>
    <n v="941"/>
    <n v="66.02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30"/>
    <x v="1"/>
    <n v="299"/>
    <n v="46.06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86"/>
    <x v="0"/>
    <n v="3015"/>
    <n v="55.9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16"/>
    <x v="1"/>
    <n v="2237"/>
    <n v="68.989999999999995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90"/>
    <x v="0"/>
    <n v="435"/>
    <n v="60.98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82"/>
    <x v="1"/>
    <n v="645"/>
    <n v="110.98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32"/>
    <x v="1"/>
    <n v="154"/>
    <n v="78.760000000000005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46"/>
    <x v="0"/>
    <n v="714"/>
    <n v="87.96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36"/>
    <x v="2"/>
    <n v="1111"/>
    <n v="49.99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05"/>
    <x v="1"/>
    <n v="82"/>
    <n v="99.52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69"/>
    <x v="1"/>
    <n v="134"/>
    <n v="104.82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62"/>
    <x v="2"/>
    <n v="1089"/>
    <n v="108.01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85"/>
    <x v="0"/>
    <n v="5497"/>
    <n v="29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11"/>
    <x v="0"/>
    <n v="418"/>
    <n v="30.03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44"/>
    <x v="0"/>
    <n v="1439"/>
    <n v="41.01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55"/>
    <x v="0"/>
    <n v="15"/>
    <n v="62.87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57"/>
    <x v="0"/>
    <n v="1999"/>
    <n v="47.01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23"/>
    <x v="1"/>
    <n v="5203"/>
    <n v="27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28"/>
    <x v="1"/>
    <n v="94"/>
    <n v="68.33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64"/>
    <x v="0"/>
    <n v="118"/>
    <n v="50.97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27"/>
    <x v="1"/>
    <n v="205"/>
    <n v="54.02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11"/>
    <x v="0"/>
    <n v="162"/>
    <n v="97.06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40"/>
    <x v="0"/>
    <n v="83"/>
    <n v="24.87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88"/>
    <x v="1"/>
    <n v="92"/>
    <n v="84.42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73"/>
    <x v="1"/>
    <n v="219"/>
    <n v="47.09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13"/>
    <x v="1"/>
    <n v="2526"/>
    <n v="78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46"/>
    <x v="0"/>
    <n v="747"/>
    <n v="62.97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91"/>
    <x v="3"/>
    <n v="2138"/>
    <n v="81.010000000000005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68"/>
    <x v="0"/>
    <n v="84"/>
    <n v="65.319999999999993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92"/>
    <x v="1"/>
    <n v="94"/>
    <n v="104.44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83"/>
    <x v="0"/>
    <n v="91"/>
    <n v="69.989999999999995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54"/>
    <x v="0"/>
    <n v="792"/>
    <n v="83.02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17"/>
    <x v="1"/>
    <n v="1713"/>
    <n v="103.98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52"/>
    <x v="1"/>
    <n v="249"/>
    <n v="54.93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23"/>
    <x v="1"/>
    <n v="192"/>
    <n v="51.92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79"/>
    <x v="1"/>
    <n v="247"/>
    <n v="60.03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55"/>
    <x v="1"/>
    <n v="2293"/>
    <n v="44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62"/>
    <x v="1"/>
    <n v="3131"/>
    <n v="53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99"/>
    <x v="1"/>
    <n v="143"/>
    <n v="75.040000000000006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35"/>
    <x v="3"/>
    <n v="90"/>
    <n v="35.909999999999997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76"/>
    <x v="1"/>
    <n v="296"/>
    <n v="36.950000000000003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11"/>
    <x v="1"/>
    <n v="170"/>
    <n v="63.17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82"/>
    <x v="0"/>
    <n v="186"/>
    <n v="29.99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50"/>
    <x v="0"/>
    <n v="605"/>
    <n v="75.010000000000005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2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23"/>
    <x v="1"/>
    <n v="6286"/>
    <n v="29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63"/>
    <x v="0"/>
    <n v="31"/>
    <n v="98.23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56"/>
    <x v="0"/>
    <n v="1181"/>
    <n v="87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44"/>
    <x v="0"/>
    <n v="39"/>
    <n v="45.21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18"/>
    <x v="1"/>
    <n v="3727"/>
    <n v="37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04"/>
    <x v="1"/>
    <n v="1605"/>
    <n v="94.98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27"/>
    <x v="0"/>
    <n v="46"/>
    <n v="28.96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51"/>
    <x v="1"/>
    <n v="2120"/>
    <n v="55.99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90"/>
    <x v="0"/>
    <n v="105"/>
    <n v="54.04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41"/>
    <x v="1"/>
    <n v="2080"/>
    <n v="67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31"/>
    <x v="0"/>
    <n v="535"/>
    <n v="107.91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08"/>
    <x v="1"/>
    <n v="2105"/>
    <n v="69.010000000000005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33"/>
    <x v="1"/>
    <n v="2436"/>
    <n v="39.01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88"/>
    <x v="1"/>
    <n v="80"/>
    <n v="110.36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6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75"/>
    <x v="1"/>
    <n v="139"/>
    <n v="57.94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84"/>
    <x v="1"/>
    <n v="159"/>
    <n v="64.959999999999994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86"/>
    <x v="1"/>
    <n v="381"/>
    <n v="27.01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39"/>
    <x v="0"/>
    <n v="575"/>
    <n v="104.94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78"/>
    <x v="1"/>
    <n v="106"/>
    <n v="84.03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65"/>
    <x v="1"/>
    <n v="142"/>
    <n v="102.86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14"/>
    <x v="1"/>
    <n v="211"/>
    <n v="39.96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30"/>
    <x v="0"/>
    <n v="1120"/>
    <n v="51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54"/>
    <x v="0"/>
    <n v="113"/>
    <n v="40.82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36"/>
    <x v="1"/>
    <n v="2756"/>
    <n v="59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13"/>
    <x v="1"/>
    <n v="173"/>
    <n v="71.16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01"/>
    <x v="1"/>
    <n v="87"/>
    <n v="99.49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81"/>
    <x v="0"/>
    <n v="1538"/>
    <n v="103.99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16"/>
    <x v="0"/>
    <n v="9"/>
    <n v="76.56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53"/>
    <x v="0"/>
    <n v="554"/>
    <n v="87.07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60"/>
    <x v="1"/>
    <n v="1572"/>
    <n v="49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31"/>
    <x v="0"/>
    <n v="648"/>
    <n v="42.97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14"/>
    <x v="0"/>
    <n v="21"/>
    <n v="33.43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79"/>
    <x v="1"/>
    <n v="2346"/>
    <n v="83.98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20"/>
    <x v="1"/>
    <n v="115"/>
    <n v="101.42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02"/>
    <x v="1"/>
    <n v="85"/>
    <n v="109.87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92"/>
    <x v="1"/>
    <n v="144"/>
    <n v="31.92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05"/>
    <x v="1"/>
    <n v="2443"/>
    <n v="70.989999999999995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24"/>
    <x v="3"/>
    <n v="595"/>
    <n v="77.03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24"/>
    <x v="1"/>
    <n v="64"/>
    <n v="101.78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47"/>
    <x v="1"/>
    <n v="268"/>
    <n v="51.06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15"/>
    <x v="1"/>
    <n v="195"/>
    <n v="68.02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1"/>
    <x v="0"/>
    <n v="54"/>
    <n v="30.87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34"/>
    <x v="0"/>
    <n v="120"/>
    <n v="27.91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24"/>
    <x v="0"/>
    <n v="579"/>
    <n v="79.989999999999995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48"/>
    <x v="0"/>
    <n v="2072"/>
    <n v="38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70"/>
    <x v="0"/>
    <n v="1796"/>
    <n v="59.99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30"/>
    <x v="1"/>
    <n v="186"/>
    <n v="37.04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80"/>
    <x v="1"/>
    <n v="460"/>
    <n v="99.96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92"/>
    <x v="0"/>
    <n v="62"/>
    <n v="111.68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14"/>
    <x v="0"/>
    <n v="347"/>
    <n v="36.01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"/>
    <x v="1"/>
    <n v="2528"/>
    <n v="66.010000000000005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40"/>
    <x v="0"/>
    <n v="19"/>
    <n v="44.05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12"/>
    <x v="1"/>
    <n v="3657"/>
    <n v="53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19"/>
    <x v="1"/>
    <n v="131"/>
    <n v="70.91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24"/>
    <x v="0"/>
    <n v="362"/>
    <n v="98.06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39"/>
    <x v="1"/>
    <n v="239"/>
    <n v="53.05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39"/>
    <x v="3"/>
    <n v="35"/>
    <n v="93.14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22"/>
    <x v="3"/>
    <n v="528"/>
    <n v="58.95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56"/>
    <x v="0"/>
    <n v="133"/>
    <n v="36.07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43"/>
    <x v="0"/>
    <n v="846"/>
    <n v="63.03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12"/>
    <x v="1"/>
    <n v="78"/>
    <n v="84.72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02"/>
    <x v="1"/>
    <n v="1773"/>
    <n v="101.98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26"/>
    <x v="1"/>
    <n v="32"/>
    <n v="106.44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46"/>
    <x v="1"/>
    <n v="369"/>
    <n v="29.98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32"/>
    <x v="0"/>
    <n v="191"/>
    <n v="85.81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00"/>
    <x v="1"/>
    <n v="89"/>
    <n v="70.819999999999993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84"/>
    <x v="0"/>
    <n v="1979"/>
    <n v="41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84"/>
    <x v="0"/>
    <n v="63"/>
    <n v="28.06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56"/>
    <x v="1"/>
    <n v="147"/>
    <n v="88.05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80"/>
    <x v="0"/>
    <n v="80"/>
    <n v="90.34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11"/>
    <x v="0"/>
    <n v="9"/>
    <n v="63.78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92"/>
    <x v="0"/>
    <n v="1784"/>
    <n v="54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96"/>
    <x v="2"/>
    <n v="3640"/>
    <n v="48.99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03"/>
    <x v="1"/>
    <n v="126"/>
    <n v="63.86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59"/>
    <x v="1"/>
    <n v="2218"/>
    <n v="83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15"/>
    <x v="0"/>
    <n v="243"/>
    <n v="55.08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82"/>
    <x v="1"/>
    <n v="202"/>
    <n v="62.04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50"/>
    <x v="1"/>
    <n v="140"/>
    <n v="104.98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17"/>
    <x v="1"/>
    <n v="1052"/>
    <n v="94.04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38"/>
    <x v="0"/>
    <n v="1296"/>
    <n v="44.01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73"/>
    <x v="0"/>
    <n v="77"/>
    <n v="92.47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66"/>
    <x v="1"/>
    <n v="247"/>
    <n v="57.07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"/>
    <x v="0"/>
    <n v="395"/>
    <n v="109.08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3"/>
    <x v="0"/>
    <n v="49"/>
    <n v="39.39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16"/>
    <x v="0"/>
    <n v="180"/>
    <n v="77.02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77"/>
    <x v="1"/>
    <n v="84"/>
    <n v="92.17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89"/>
    <x v="0"/>
    <n v="2690"/>
    <n v="61.0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64"/>
    <x v="1"/>
    <n v="88"/>
    <n v="78.069999999999993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71"/>
    <x v="1"/>
    <n v="2985"/>
    <n v="59.99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84"/>
    <x v="1"/>
    <n v="762"/>
    <n v="110.03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59"/>
    <x v="0"/>
    <n v="2779"/>
    <n v="38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99"/>
    <x v="0"/>
    <n v="92"/>
    <n v="96.37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44"/>
    <x v="0"/>
    <n v="1028"/>
    <n v="72.9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52"/>
    <x v="1"/>
    <n v="554"/>
    <n v="26.01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24"/>
    <x v="1"/>
    <n v="135"/>
    <n v="104.36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40"/>
    <x v="1"/>
    <n v="122"/>
    <n v="102.19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99"/>
    <x v="1"/>
    <n v="221"/>
    <n v="54.12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37"/>
    <x v="1"/>
    <n v="126"/>
    <n v="63.22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01"/>
    <x v="1"/>
    <n v="1022"/>
    <n v="104.03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94"/>
    <x v="1"/>
    <n v="3177"/>
    <n v="49.99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70"/>
    <x v="1"/>
    <n v="198"/>
    <n v="56.02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13"/>
    <x v="0"/>
    <n v="26"/>
    <n v="48.81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38"/>
    <x v="1"/>
    <n v="85"/>
    <n v="60.08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84"/>
    <x v="0"/>
    <n v="1790"/>
    <n v="78.989999999999995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05"/>
    <x v="1"/>
    <n v="3596"/>
    <n v="53.99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44"/>
    <x v="0"/>
    <n v="37"/>
    <n v="111.46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19"/>
    <x v="1"/>
    <n v="244"/>
    <n v="60.92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86"/>
    <x v="1"/>
    <n v="5180"/>
    <n v="26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37"/>
    <x v="1"/>
    <n v="589"/>
    <n v="80.989999999999995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06"/>
    <x v="1"/>
    <n v="2725"/>
    <n v="35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94"/>
    <x v="0"/>
    <n v="35"/>
    <n v="94.14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54"/>
    <x v="3"/>
    <n v="94"/>
    <n v="52.09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12"/>
    <x v="1"/>
    <n v="300"/>
    <n v="24.99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69"/>
    <x v="1"/>
    <n v="144"/>
    <n v="69.22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63"/>
    <x v="0"/>
    <n v="558"/>
    <n v="93.94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65"/>
    <x v="0"/>
    <n v="64"/>
    <n v="98.41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19"/>
    <x v="3"/>
    <n v="37"/>
    <n v="41.78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17"/>
    <x v="0"/>
    <n v="245"/>
    <n v="65.989999999999995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01"/>
    <x v="1"/>
    <n v="87"/>
    <n v="72.06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42"/>
    <x v="1"/>
    <n v="3116"/>
    <n v="48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64"/>
    <x v="0"/>
    <n v="71"/>
    <n v="54.1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52"/>
    <x v="0"/>
    <n v="42"/>
    <n v="107.88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22"/>
    <x v="1"/>
    <n v="909"/>
    <n v="67.03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20"/>
    <x v="1"/>
    <n v="1613"/>
    <n v="64.010000000000005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47"/>
    <x v="1"/>
    <n v="136"/>
    <n v="96.07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51"/>
    <x v="1"/>
    <n v="130"/>
    <n v="51.18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73"/>
    <x v="0"/>
    <n v="156"/>
    <n v="43.9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79"/>
    <x v="0"/>
    <n v="1368"/>
    <n v="91.02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65"/>
    <x v="0"/>
    <n v="102"/>
    <n v="50.13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82"/>
    <x v="0"/>
    <n v="86"/>
    <n v="67.72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38"/>
    <x v="1"/>
    <n v="102"/>
    <n v="61.04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13"/>
    <x v="0"/>
    <n v="253"/>
    <n v="80.010000000000005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55"/>
    <x v="1"/>
    <n v="4006"/>
    <n v="47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"/>
    <x v="0"/>
    <n v="157"/>
    <n v="71.13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09"/>
    <x v="1"/>
    <n v="1629"/>
    <n v="89.99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100"/>
    <x v="0"/>
    <n v="183"/>
    <n v="43.03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02"/>
    <x v="1"/>
    <n v="2188"/>
    <n v="68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62"/>
    <x v="1"/>
    <n v="2409"/>
    <n v="73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4"/>
    <x v="0"/>
    <n v="82"/>
    <n v="62.34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07"/>
    <x v="1"/>
    <n v="194"/>
    <n v="67.099999999999994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28"/>
    <x v="1"/>
    <n v="1140"/>
    <n v="79.98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20"/>
    <x v="1"/>
    <n v="102"/>
    <n v="62.18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71"/>
    <x v="1"/>
    <n v="2857"/>
    <n v="53.01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87"/>
    <x v="1"/>
    <n v="107"/>
    <n v="57.74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88"/>
    <x v="1"/>
    <n v="160"/>
    <n v="40.03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31"/>
    <x v="1"/>
    <n v="2230"/>
    <n v="81.02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84"/>
    <x v="1"/>
    <n v="316"/>
    <n v="35.049999999999997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20"/>
    <x v="1"/>
    <n v="117"/>
    <n v="102.92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"/>
    <x v="1"/>
    <n v="6406"/>
    <n v="28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14"/>
    <x v="3"/>
    <n v="15"/>
    <n v="75.73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39"/>
    <x v="1"/>
    <n v="192"/>
    <n v="45.03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2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55"/>
    <x v="1"/>
    <n v="723"/>
    <n v="56.99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70"/>
    <x v="1"/>
    <n v="170"/>
    <n v="85.22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90"/>
    <x v="1"/>
    <n v="238"/>
    <n v="50.96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50"/>
    <x v="1"/>
    <n v="55"/>
    <n v="63.56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49"/>
    <x v="0"/>
    <n v="1198"/>
    <n v="81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28"/>
    <x v="0"/>
    <n v="648"/>
    <n v="86.04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68"/>
    <x v="1"/>
    <n v="128"/>
    <n v="90.04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20"/>
    <x v="1"/>
    <n v="2144"/>
    <n v="74.010000000000005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"/>
    <x v="0"/>
    <n v="64"/>
    <n v="92.44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60"/>
    <x v="1"/>
    <n v="2693"/>
    <n v="56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79"/>
    <x v="1"/>
    <n v="432"/>
    <n v="32.979999999999997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77"/>
    <x v="0"/>
    <n v="62"/>
    <n v="93.6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06"/>
    <x v="1"/>
    <n v="189"/>
    <n v="69.87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94"/>
    <x v="1"/>
    <n v="154"/>
    <n v="72.13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52"/>
    <x v="1"/>
    <n v="96"/>
    <n v="30.04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65"/>
    <x v="0"/>
    <n v="750"/>
    <n v="73.97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63"/>
    <x v="3"/>
    <n v="87"/>
    <n v="68.66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10"/>
    <x v="1"/>
    <n v="3063"/>
    <n v="59.99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43"/>
    <x v="2"/>
    <n v="278"/>
    <n v="111.1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83"/>
    <x v="0"/>
    <n v="105"/>
    <n v="53.04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79"/>
    <x v="3"/>
    <n v="1658"/>
    <n v="55.99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14"/>
    <x v="1"/>
    <n v="2266"/>
    <n v="69.989999999999995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65"/>
    <x v="0"/>
    <n v="2604"/>
    <n v="49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79"/>
    <x v="0"/>
    <n v="65"/>
    <n v="103.85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11"/>
    <x v="0"/>
    <n v="94"/>
    <n v="99.13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56"/>
    <x v="2"/>
    <n v="45"/>
    <n v="107.38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17"/>
    <x v="0"/>
    <n v="257"/>
    <n v="76.92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20"/>
    <x v="1"/>
    <n v="194"/>
    <n v="58.13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45"/>
    <x v="1"/>
    <n v="129"/>
    <n v="103.74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21"/>
    <x v="1"/>
    <n v="375"/>
    <n v="87.96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93"/>
    <x v="0"/>
    <n v="4697"/>
    <n v="38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89"/>
    <x v="0"/>
    <n v="2915"/>
    <n v="30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63"/>
    <x v="3"/>
    <n v="723"/>
    <n v="85.99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48"/>
    <x v="0"/>
    <n v="602"/>
    <n v="98.01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88"/>
    <x v="0"/>
    <n v="3868"/>
    <n v="44.99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27"/>
    <x v="1"/>
    <n v="409"/>
    <n v="31.01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39"/>
    <x v="1"/>
    <n v="234"/>
    <n v="59.97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08"/>
    <x v="1"/>
    <n v="3016"/>
    <n v="59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91"/>
    <x v="1"/>
    <n v="264"/>
    <n v="50.05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"/>
    <x v="0"/>
    <n v="504"/>
    <n v="98.97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"/>
    <x v="0"/>
    <n v="14"/>
    <n v="58.86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"/>
    <x v="3"/>
    <n v="390"/>
    <n v="81.010000000000005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47"/>
    <x v="0"/>
    <n v="750"/>
    <n v="76.010000000000005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82"/>
    <x v="0"/>
    <n v="77"/>
    <n v="96.6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54"/>
    <x v="0"/>
    <n v="752"/>
    <n v="76.959999999999994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98"/>
    <x v="0"/>
    <n v="131"/>
    <n v="67.98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77"/>
    <x v="0"/>
    <n v="87"/>
    <n v="88.78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33"/>
    <x v="0"/>
    <n v="1063"/>
    <n v="25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40"/>
    <x v="1"/>
    <n v="272"/>
    <n v="44.92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76"/>
    <x v="1"/>
    <n v="419"/>
    <n v="29.01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20"/>
    <x v="0"/>
    <n v="76"/>
    <n v="73.59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59"/>
    <x v="1"/>
    <n v="1621"/>
    <n v="107.97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69"/>
    <x v="1"/>
    <n v="1101"/>
    <n v="68.989999999999995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22"/>
    <x v="1"/>
    <n v="1073"/>
    <n v="111.02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56"/>
    <x v="0"/>
    <n v="4428"/>
    <n v="25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44"/>
    <x v="0"/>
    <n v="58"/>
    <n v="42.16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34"/>
    <x v="3"/>
    <n v="1218"/>
    <n v="47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23"/>
    <x v="1"/>
    <n v="331"/>
    <n v="36.04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90"/>
    <x v="1"/>
    <n v="1170"/>
    <n v="101.04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84"/>
    <x v="0"/>
    <n v="111"/>
    <n v="39.93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18"/>
    <x v="3"/>
    <n v="215"/>
    <n v="83.16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37"/>
    <x v="1"/>
    <n v="363"/>
    <n v="39.979999999999997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97"/>
    <x v="0"/>
    <n v="2955"/>
    <n v="47.99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86"/>
    <x v="0"/>
    <n v="1657"/>
    <n v="95.98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50"/>
    <x v="1"/>
    <n v="103"/>
    <n v="78.73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58"/>
    <x v="1"/>
    <n v="147"/>
    <n v="56.08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43"/>
    <x v="1"/>
    <n v="110"/>
    <n v="69.09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68"/>
    <x v="0"/>
    <n v="926"/>
    <n v="102.05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92"/>
    <x v="1"/>
    <n v="134"/>
    <n v="107.32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29"/>
    <x v="1"/>
    <n v="175"/>
    <n v="71.14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01"/>
    <x v="1"/>
    <n v="69"/>
    <n v="106.49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27"/>
    <x v="1"/>
    <n v="190"/>
    <n v="42.94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42"/>
    <x v="1"/>
    <n v="237"/>
    <n v="30.04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91"/>
    <x v="0"/>
    <n v="77"/>
    <n v="70.62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64"/>
    <x v="0"/>
    <n v="1748"/>
    <n v="66.02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84"/>
    <x v="0"/>
    <n v="79"/>
    <n v="96.91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34"/>
    <x v="1"/>
    <n v="196"/>
    <n v="62.87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59"/>
    <x v="0"/>
    <n v="889"/>
    <n v="108.99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53"/>
    <x v="1"/>
    <n v="7295"/>
    <n v="27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47"/>
    <x v="1"/>
    <n v="2893"/>
    <n v="65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84"/>
    <x v="0"/>
    <n v="56"/>
    <n v="111.52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75"/>
    <x v="1"/>
    <n v="820"/>
    <n v="110.99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54"/>
    <x v="0"/>
    <n v="83"/>
    <n v="56.75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12"/>
    <x v="1"/>
    <n v="2038"/>
    <n v="97.02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23"/>
    <x v="1"/>
    <n v="116"/>
    <n v="92.09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99"/>
    <x v="0"/>
    <n v="2025"/>
    <n v="82.99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28"/>
    <x v="1"/>
    <n v="1345"/>
    <n v="103.04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59"/>
    <x v="1"/>
    <n v="168"/>
    <n v="68.92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07"/>
    <x v="1"/>
    <n v="137"/>
    <n v="87.74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42"/>
    <x v="1"/>
    <n v="186"/>
    <n v="75.02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48"/>
    <x v="1"/>
    <n v="125"/>
    <n v="50.86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41"/>
    <x v="1"/>
    <n v="202"/>
    <n v="72.900000000000006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62"/>
    <x v="1"/>
    <n v="103"/>
    <n v="108.49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73"/>
    <x v="1"/>
    <n v="1785"/>
    <n v="101.98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24"/>
    <x v="0"/>
    <n v="656"/>
    <n v="44.01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18"/>
    <x v="1"/>
    <n v="157"/>
    <n v="65.94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48"/>
    <x v="1"/>
    <n v="555"/>
    <n v="24.99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00"/>
    <x v="1"/>
    <n v="297"/>
    <n v="28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3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"/>
    <x v="3"/>
    <n v="38"/>
    <n v="84.92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"/>
    <x v="3"/>
    <n v="60"/>
    <n v="90.48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57"/>
    <x v="1"/>
    <n v="3036"/>
    <n v="25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70"/>
    <x v="1"/>
    <n v="144"/>
    <n v="92.01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34"/>
    <x v="1"/>
    <n v="121"/>
    <n v="93.07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50"/>
    <x v="0"/>
    <n v="1596"/>
    <n v="61.01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89"/>
    <x v="3"/>
    <n v="524"/>
    <n v="92.04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86"/>
    <x v="1"/>
    <n v="122"/>
    <n v="85.22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13"/>
    <x v="1"/>
    <n v="1071"/>
    <n v="110.97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90"/>
    <x v="3"/>
    <n v="219"/>
    <n v="32.97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92"/>
    <x v="0"/>
    <n v="1121"/>
    <n v="96.01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27"/>
    <x v="1"/>
    <n v="980"/>
    <n v="84.97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19"/>
    <x v="1"/>
    <n v="536"/>
    <n v="25.01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54"/>
    <x v="1"/>
    <n v="1991"/>
    <n v="66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33"/>
    <x v="3"/>
    <n v="29"/>
    <n v="87.34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36"/>
    <x v="1"/>
    <n v="180"/>
    <n v="27.93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4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79"/>
    <x v="1"/>
    <n v="130"/>
    <n v="108.85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26"/>
    <x v="1"/>
    <n v="122"/>
    <n v="110.76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13"/>
    <x v="0"/>
    <n v="17"/>
    <n v="29.65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35"/>
    <x v="3"/>
    <n v="614"/>
    <n v="110.97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57"/>
    <x v="1"/>
    <n v="366"/>
    <n v="36.96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32"/>
    <x v="1"/>
    <n v="270"/>
    <n v="30.97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92"/>
    <x v="3"/>
    <n v="114"/>
    <n v="47.04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57"/>
    <x v="1"/>
    <n v="137"/>
    <n v="88.07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68"/>
    <x v="1"/>
    <n v="3205"/>
    <n v="37.01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67"/>
    <x v="1"/>
    <n v="288"/>
    <n v="26.03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72"/>
    <x v="1"/>
    <n v="148"/>
    <n v="67.819999999999993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07"/>
    <x v="1"/>
    <n v="114"/>
    <n v="49.96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64"/>
    <x v="1"/>
    <n v="1518"/>
    <n v="110.02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68"/>
    <x v="0"/>
    <n v="1274"/>
    <n v="89.96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34"/>
    <x v="0"/>
    <n v="210"/>
    <n v="79.010000000000005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55"/>
    <x v="1"/>
    <n v="166"/>
    <n v="86.87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13"/>
    <x v="1"/>
    <n v="235"/>
    <n v="26.97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28"/>
    <x v="1"/>
    <n v="148"/>
    <n v="54.12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08"/>
    <x v="1"/>
    <n v="198"/>
    <n v="41.04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31"/>
    <x v="0"/>
    <n v="248"/>
    <n v="55.05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7"/>
    <x v="0"/>
    <n v="513"/>
    <n v="107.94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87"/>
    <x v="0"/>
    <n v="3410"/>
    <n v="32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71"/>
    <x v="1"/>
    <n v="216"/>
    <n v="53.9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13"/>
    <x v="1"/>
    <n v="5139"/>
    <n v="33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91"/>
    <x v="1"/>
    <n v="2353"/>
    <n v="43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36"/>
    <x v="1"/>
    <n v="78"/>
    <n v="86.86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66"/>
    <x v="0"/>
    <n v="2201"/>
    <n v="33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49"/>
    <x v="0"/>
    <n v="676"/>
    <n v="68.03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88"/>
    <x v="1"/>
    <n v="174"/>
    <n v="58.87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80"/>
    <x v="0"/>
    <n v="831"/>
    <n v="105.05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06"/>
    <x v="1"/>
    <n v="164"/>
    <n v="33.049999999999997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51"/>
    <x v="3"/>
    <n v="56"/>
    <n v="78.819999999999993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15"/>
    <x v="1"/>
    <n v="161"/>
    <n v="68.2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41"/>
    <x v="1"/>
    <n v="138"/>
    <n v="75.73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15"/>
    <x v="1"/>
    <n v="3308"/>
    <n v="31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93"/>
    <x v="1"/>
    <n v="127"/>
    <n v="101.88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30"/>
    <x v="1"/>
    <n v="207"/>
    <n v="52.88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100"/>
    <x v="0"/>
    <n v="859"/>
    <n v="71.010000000000005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88"/>
    <x v="2"/>
    <n v="31"/>
    <n v="102.39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37"/>
    <x v="0"/>
    <n v="45"/>
    <n v="74.47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31"/>
    <x v="3"/>
    <n v="1113"/>
    <n v="51.01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86"/>
    <x v="1"/>
    <n v="181"/>
    <n v="72.069999999999993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25"/>
    <x v="1"/>
    <n v="110"/>
    <n v="75.239999999999995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14"/>
    <x v="0"/>
    <n v="31"/>
    <n v="32.97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55"/>
    <x v="0"/>
    <n v="78"/>
    <n v="54.81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10"/>
    <x v="1"/>
    <n v="185"/>
    <n v="45.04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88"/>
    <x v="1"/>
    <n v="121"/>
    <n v="52.96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87"/>
    <x v="0"/>
    <n v="1225"/>
    <n v="60.02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03"/>
    <x v="1"/>
    <n v="106"/>
    <n v="44.03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"/>
    <x v="1"/>
    <n v="142"/>
    <n v="86.03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69"/>
    <x v="1"/>
    <n v="218"/>
    <n v="32.049999999999997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51"/>
    <x v="0"/>
    <n v="67"/>
    <n v="73.61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80"/>
    <x v="1"/>
    <n v="76"/>
    <n v="108.71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8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30"/>
    <x v="0"/>
    <n v="19"/>
    <n v="83.32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93"/>
    <x v="1"/>
    <n v="221"/>
    <n v="55.93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77"/>
    <x v="0"/>
    <n v="679"/>
    <n v="105.04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39"/>
    <x v="1"/>
    <n v="68"/>
    <n v="112.66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92"/>
    <x v="0"/>
    <n v="36"/>
    <n v="81.94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30"/>
    <x v="1"/>
    <n v="183"/>
    <n v="64.05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15"/>
    <x v="1"/>
    <n v="133"/>
    <n v="106.39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69"/>
    <x v="1"/>
    <n v="2489"/>
    <n v="76.010000000000005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95"/>
    <x v="1"/>
    <n v="69"/>
    <n v="111.07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51"/>
    <x v="0"/>
    <n v="47"/>
    <n v="95.94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01"/>
    <x v="1"/>
    <n v="279"/>
    <n v="43.04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91"/>
    <x v="1"/>
    <n v="210"/>
    <n v="67.97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50"/>
    <x v="1"/>
    <n v="2100"/>
    <n v="89.99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57"/>
    <x v="1"/>
    <n v="252"/>
    <n v="58.1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26"/>
    <x v="1"/>
    <n v="1280"/>
    <n v="84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88"/>
    <x v="1"/>
    <n v="157"/>
    <n v="88.85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57"/>
    <x v="1"/>
    <n v="194"/>
    <n v="65.959999999999994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67"/>
    <x v="1"/>
    <n v="82"/>
    <n v="74.8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9999999999995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51"/>
    <x v="0"/>
    <n v="154"/>
    <n v="32.01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"/>
    <x v="0"/>
    <n v="22"/>
    <n v="64.73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09"/>
    <x v="1"/>
    <n v="4233"/>
    <n v="25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15"/>
    <x v="1"/>
    <n v="1297"/>
    <n v="104.98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58"/>
    <x v="1"/>
    <n v="165"/>
    <n v="64.989999999999995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54"/>
    <x v="1"/>
    <n v="119"/>
    <n v="94.35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90"/>
    <x v="0"/>
    <n v="1758"/>
    <n v="44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75"/>
    <x v="0"/>
    <n v="94"/>
    <n v="64.739999999999995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53"/>
    <x v="1"/>
    <n v="1797"/>
    <n v="84.01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39"/>
    <x v="1"/>
    <n v="261"/>
    <n v="34.06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90"/>
    <x v="1"/>
    <n v="157"/>
    <n v="93.27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00"/>
    <x v="1"/>
    <n v="3533"/>
    <n v="33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43"/>
    <x v="1"/>
    <n v="155"/>
    <n v="83.81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63"/>
    <x v="1"/>
    <n v="132"/>
    <n v="63.99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31"/>
    <x v="0"/>
    <n v="33"/>
    <n v="81.91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99"/>
    <x v="3"/>
    <n v="94"/>
    <n v="93.05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98"/>
    <x v="1"/>
    <n v="1354"/>
    <n v="101.98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09"/>
    <x v="1"/>
    <n v="48"/>
    <n v="105.94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38"/>
    <x v="1"/>
    <n v="110"/>
    <n v="101.58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38"/>
    <x v="1"/>
    <n v="172"/>
    <n v="62.97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33"/>
    <x v="1"/>
    <n v="307"/>
    <n v="29.05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08"/>
    <x v="1"/>
    <n v="160"/>
    <n v="77.930000000000007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51"/>
    <x v="0"/>
    <n v="31"/>
    <n v="80.81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52"/>
    <x v="1"/>
    <n v="1467"/>
    <n v="76.010000000000005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14"/>
    <x v="1"/>
    <n v="2662"/>
    <n v="72.989999999999995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57"/>
    <x v="1"/>
    <n v="158"/>
    <n v="54.16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40"/>
    <x v="1"/>
    <n v="225"/>
    <n v="32.950000000000003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69"/>
    <x v="0"/>
    <n v="35"/>
    <n v="79.37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36"/>
    <x v="0"/>
    <n v="63"/>
    <n v="41.17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52"/>
    <x v="1"/>
    <n v="65"/>
    <n v="77.430000000000007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06"/>
    <x v="1"/>
    <n v="163"/>
    <n v="57.16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87"/>
    <x v="1"/>
    <n v="85"/>
    <n v="77.180000000000007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87"/>
    <x v="1"/>
    <n v="217"/>
    <n v="24.95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86"/>
    <x v="1"/>
    <n v="3272"/>
    <n v="46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43"/>
    <x v="3"/>
    <n v="898"/>
    <n v="88.02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85"/>
    <x v="1"/>
    <n v="126"/>
    <n v="102.69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24"/>
    <x v="0"/>
    <n v="526"/>
    <n v="72.959999999999994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90"/>
    <x v="0"/>
    <n v="121"/>
    <n v="57.19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73"/>
    <x v="1"/>
    <n v="2320"/>
    <n v="84.01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70"/>
    <x v="1"/>
    <n v="81"/>
    <n v="98.67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"/>
    <x v="1"/>
    <n v="1887"/>
    <n v="42.01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47"/>
    <x v="1"/>
    <n v="4358"/>
    <n v="32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69"/>
    <x v="0"/>
    <n v="67"/>
    <n v="81.569999999999993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25"/>
    <x v="0"/>
    <n v="57"/>
    <n v="37.04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77"/>
    <x v="0"/>
    <n v="1229"/>
    <n v="103.03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37"/>
    <x v="0"/>
    <n v="12"/>
    <n v="84.33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44"/>
    <x v="1"/>
    <n v="53"/>
    <n v="102.6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29"/>
    <x v="1"/>
    <n v="2414"/>
    <n v="79.989999999999995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39"/>
    <x v="0"/>
    <n v="452"/>
    <n v="70.06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38"/>
    <x v="1"/>
    <n v="193"/>
    <n v="41.91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64"/>
    <x v="0"/>
    <n v="1886"/>
    <n v="57.99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18"/>
    <x v="1"/>
    <n v="52"/>
    <n v="40.94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85"/>
    <x v="0"/>
    <n v="1825"/>
    <n v="70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29"/>
    <x v="0"/>
    <n v="31"/>
    <n v="73.84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10"/>
    <x v="1"/>
    <n v="290"/>
    <n v="41.98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70"/>
    <x v="1"/>
    <n v="122"/>
    <n v="77.930000000000007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16"/>
    <x v="1"/>
    <n v="1470"/>
    <n v="106.02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59"/>
    <x v="1"/>
    <n v="165"/>
    <n v="47.02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31"/>
    <x v="1"/>
    <n v="182"/>
    <n v="76.02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28"/>
    <x v="1"/>
    <n v="199"/>
    <n v="54.12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89"/>
    <x v="1"/>
    <n v="56"/>
    <n v="57.29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7"/>
    <x v="0"/>
    <n v="107"/>
    <n v="103.81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74"/>
    <x v="1"/>
    <n v="1460"/>
    <n v="105.03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28"/>
    <x v="0"/>
    <n v="27"/>
    <n v="90.26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52"/>
    <x v="0"/>
    <n v="1221"/>
    <n v="76.98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07"/>
    <x v="1"/>
    <n v="123"/>
    <n v="102.6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56"/>
    <x v="1"/>
    <n v="159"/>
    <n v="55.01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52"/>
    <x v="1"/>
    <n v="110"/>
    <n v="32.130000000000003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2"/>
    <x v="2"/>
    <n v="14"/>
    <n v="50.64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12"/>
    <x v="0"/>
    <n v="16"/>
    <n v="49.69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64"/>
    <x v="1"/>
    <n v="236"/>
    <n v="54.89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63"/>
    <x v="1"/>
    <n v="191"/>
    <n v="46.93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20"/>
    <x v="0"/>
    <n v="41"/>
    <n v="44.95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19"/>
    <x v="1"/>
    <n v="3934"/>
    <n v="31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79"/>
    <x v="1"/>
    <n v="80"/>
    <n v="107.76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20"/>
    <x v="3"/>
    <n v="296"/>
    <n v="102.08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99"/>
    <x v="1"/>
    <n v="462"/>
    <n v="24.98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51"/>
    <x v="0"/>
    <n v="523"/>
    <n v="67.95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57"/>
    <x v="0"/>
    <n v="141"/>
    <n v="26.07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56"/>
    <x v="1"/>
    <n v="1866"/>
    <n v="105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36"/>
    <x v="0"/>
    <n v="52"/>
    <n v="25.83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58"/>
    <x v="2"/>
    <n v="27"/>
    <n v="77.67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37"/>
    <x v="1"/>
    <n v="156"/>
    <n v="57.83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59"/>
    <x v="0"/>
    <n v="225"/>
    <n v="92.96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83"/>
    <x v="1"/>
    <n v="255"/>
    <n v="37.950000000000003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1"/>
    <x v="0"/>
    <n v="38"/>
    <n v="31.84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88"/>
    <x v="1"/>
    <n v="2289"/>
    <n v="84.01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24"/>
    <x v="1"/>
    <n v="65"/>
    <n v="103.42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18"/>
    <x v="0"/>
    <n v="15"/>
    <n v="105.13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46"/>
    <x v="0"/>
    <n v="37"/>
    <n v="89.22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17"/>
    <x v="1"/>
    <n v="3777"/>
    <n v="52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17"/>
    <x v="1"/>
    <n v="184"/>
    <n v="64.959999999999994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12"/>
    <x v="1"/>
    <n v="85"/>
    <n v="46.24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73"/>
    <x v="0"/>
    <n v="112"/>
    <n v="51.15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12"/>
    <x v="1"/>
    <n v="144"/>
    <n v="33.909999999999997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40"/>
    <x v="1"/>
    <n v="1902"/>
    <n v="92.02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82"/>
    <x v="1"/>
    <n v="105"/>
    <n v="107.43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64"/>
    <x v="1"/>
    <n v="132"/>
    <n v="75.849999999999994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2"/>
    <x v="0"/>
    <n v="21"/>
    <n v="80.48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50"/>
    <x v="3"/>
    <n v="976"/>
    <n v="86.98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10"/>
    <x v="1"/>
    <n v="96"/>
    <n v="105.14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49"/>
    <x v="0"/>
    <n v="67"/>
    <n v="57.3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62"/>
    <x v="2"/>
    <n v="66"/>
    <n v="93.35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13"/>
    <x v="0"/>
    <n v="78"/>
    <n v="71.989999999999995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65"/>
    <x v="0"/>
    <n v="67"/>
    <n v="92.61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60"/>
    <x v="1"/>
    <n v="114"/>
    <n v="104.99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81"/>
    <x v="0"/>
    <n v="263"/>
    <n v="30.96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"/>
    <x v="0"/>
    <n v="1691"/>
    <n v="33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10"/>
    <x v="0"/>
    <n v="181"/>
    <n v="84.19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27"/>
    <x v="0"/>
    <n v="13"/>
    <n v="73.92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63"/>
    <x v="3"/>
    <n v="160"/>
    <n v="36.99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61"/>
    <x v="1"/>
    <n v="203"/>
    <n v="46.9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97"/>
    <x v="1"/>
    <n v="1559"/>
    <n v="102.02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70"/>
    <x v="3"/>
    <n v="2266"/>
    <n v="45.01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9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"/>
    <x v="1"/>
    <n v="1548"/>
    <n v="101.02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4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19"/>
    <x v="0"/>
    <n v="830"/>
    <n v="43.01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27"/>
    <x v="1"/>
    <n v="131"/>
    <n v="94.92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35"/>
    <x v="1"/>
    <n v="112"/>
    <n v="72.150000000000006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5"/>
    <x v="0"/>
    <n v="130"/>
    <n v="51.01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85"/>
    <x v="0"/>
    <n v="55"/>
    <n v="85.05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19"/>
    <x v="1"/>
    <n v="155"/>
    <n v="43.87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96"/>
    <x v="1"/>
    <n v="266"/>
    <n v="40.06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85"/>
    <x v="0"/>
    <n v="114"/>
    <n v="43.83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56"/>
    <x v="1"/>
    <n v="155"/>
    <n v="84.93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86"/>
    <x v="1"/>
    <n v="207"/>
    <n v="41.07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92"/>
    <x v="1"/>
    <n v="245"/>
    <n v="54.97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37"/>
    <x v="1"/>
    <n v="1573"/>
    <n v="77.010000000000005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38"/>
    <x v="1"/>
    <n v="114"/>
    <n v="71.2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08"/>
    <x v="1"/>
    <n v="93"/>
    <n v="91.9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61"/>
    <x v="0"/>
    <n v="594"/>
    <n v="97.07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28"/>
    <x v="0"/>
    <n v="24"/>
    <n v="58.92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"/>
    <x v="1"/>
    <n v="1681"/>
    <n v="58.02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22"/>
    <x v="0"/>
    <n v="252"/>
    <n v="103.87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74"/>
    <x v="1"/>
    <n v="32"/>
    <n v="93.47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55"/>
    <x v="1"/>
    <n v="135"/>
    <n v="61.97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22"/>
    <x v="1"/>
    <n v="140"/>
    <n v="92.04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74"/>
    <x v="0"/>
    <n v="67"/>
    <n v="77.27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64"/>
    <x v="1"/>
    <n v="92"/>
    <n v="93.92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43"/>
    <x v="1"/>
    <n v="1015"/>
    <n v="84.97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40"/>
    <x v="0"/>
    <n v="742"/>
    <n v="105.97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78"/>
    <x v="1"/>
    <n v="323"/>
    <n v="36.97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85"/>
    <x v="0"/>
    <n v="75"/>
    <n v="81.53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46"/>
    <x v="1"/>
    <n v="2326"/>
    <n v="81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52"/>
    <x v="1"/>
    <n v="381"/>
    <n v="26.01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67"/>
    <x v="0"/>
    <n v="4405"/>
    <n v="26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40"/>
    <x v="0"/>
    <n v="92"/>
    <n v="34.17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17"/>
    <x v="1"/>
    <n v="480"/>
    <n v="28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52"/>
    <x v="0"/>
    <n v="64"/>
    <n v="76.55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500"/>
    <x v="1"/>
    <n v="226"/>
    <n v="53.05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88"/>
    <x v="0"/>
    <n v="64"/>
    <n v="106.86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13"/>
    <x v="1"/>
    <n v="241"/>
    <n v="46.02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27"/>
    <x v="1"/>
    <n v="132"/>
    <n v="100.17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52"/>
    <x v="0"/>
    <n v="842"/>
    <n v="87.97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57"/>
    <x v="1"/>
    <n v="2043"/>
    <n v="75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73"/>
    <x v="0"/>
    <n v="112"/>
    <n v="42.98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61"/>
    <x v="3"/>
    <n v="139"/>
    <n v="33.119999999999997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57"/>
    <x v="0"/>
    <n v="374"/>
    <n v="101.13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57"/>
    <x v="3"/>
    <n v="1122"/>
    <n v="55.99"/>
    <x v="1"/>
    <s v="USD"/>
    <n v="1467176400"/>
    <n v="14677812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FF4C1E-2C09-4DF0-B327-C31E1DD1C234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09CF3A-1BDF-4A40-AB6F-489E5699239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F429B9-0536-4E56-BC3C-26C1C834644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5C988-781A-49E8-B274-11AA7CF1348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6">
    <pivotField axis="axisRow" allDrilled="1" subtotalTop="0" showAll="0" dataSourceSort="1" defaultSubtotal="0" defaultAttributeDrillState="1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</items>
    </pivotField>
    <pivotField axis="axisRow" allDrilled="1" subtotalTop="0" showAll="0" dataSourceSort="1" defaultSubtotal="0" defaultAttributeDrillState="1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2">
    <field x="1"/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2">
    <pageField fld="4" hier="18" name="[Range].[Parent category].[All]" cap="All"/>
    <pageField fld="3" hier="20" name="[Range].[Date Created Conversion (Year)].[All]" cap="All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3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T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024D8-EF69-4CF2-86D6-926E5E843932}">
  <dimension ref="A3:C20"/>
  <sheetViews>
    <sheetView workbookViewId="0">
      <selection activeCell="C13" sqref="C13"/>
    </sheetView>
  </sheetViews>
  <sheetFormatPr defaultRowHeight="15.75" x14ac:dyDescent="0.25"/>
  <sheetData>
    <row r="3" spans="1:3" x14ac:dyDescent="0.25">
      <c r="A3" s="10"/>
      <c r="B3" s="11"/>
      <c r="C3" s="12"/>
    </row>
    <row r="4" spans="1:3" x14ac:dyDescent="0.25">
      <c r="A4" s="13"/>
      <c r="B4" s="14"/>
      <c r="C4" s="15"/>
    </row>
    <row r="5" spans="1:3" x14ac:dyDescent="0.25">
      <c r="A5" s="13"/>
      <c r="B5" s="14"/>
      <c r="C5" s="15"/>
    </row>
    <row r="6" spans="1:3" x14ac:dyDescent="0.25">
      <c r="A6" s="13"/>
      <c r="B6" s="14"/>
      <c r="C6" s="15"/>
    </row>
    <row r="7" spans="1:3" x14ac:dyDescent="0.25">
      <c r="A7" s="13"/>
      <c r="B7" s="14"/>
      <c r="C7" s="15"/>
    </row>
    <row r="8" spans="1:3" x14ac:dyDescent="0.25">
      <c r="A8" s="13"/>
      <c r="B8" s="14"/>
      <c r="C8" s="15"/>
    </row>
    <row r="9" spans="1:3" x14ac:dyDescent="0.25">
      <c r="A9" s="13"/>
      <c r="B9" s="14"/>
      <c r="C9" s="15"/>
    </row>
    <row r="10" spans="1:3" x14ac:dyDescent="0.25">
      <c r="A10" s="13"/>
      <c r="B10" s="14"/>
      <c r="C10" s="15"/>
    </row>
    <row r="11" spans="1:3" x14ac:dyDescent="0.25">
      <c r="A11" s="13"/>
      <c r="B11" s="14"/>
      <c r="C11" s="15"/>
    </row>
    <row r="12" spans="1:3" x14ac:dyDescent="0.25">
      <c r="A12" s="13"/>
      <c r="B12" s="14"/>
      <c r="C12" s="15"/>
    </row>
    <row r="13" spans="1:3" x14ac:dyDescent="0.25">
      <c r="A13" s="13"/>
      <c r="B13" s="14"/>
      <c r="C13" s="15"/>
    </row>
    <row r="14" spans="1:3" x14ac:dyDescent="0.25">
      <c r="A14" s="13"/>
      <c r="B14" s="14"/>
      <c r="C14" s="15"/>
    </row>
    <row r="15" spans="1:3" x14ac:dyDescent="0.25">
      <c r="A15" s="13"/>
      <c r="B15" s="14"/>
      <c r="C15" s="15"/>
    </row>
    <row r="16" spans="1:3" x14ac:dyDescent="0.25">
      <c r="A16" s="13"/>
      <c r="B16" s="14"/>
      <c r="C16" s="15"/>
    </row>
    <row r="17" spans="1:3" x14ac:dyDescent="0.25">
      <c r="A17" s="13"/>
      <c r="B17" s="14"/>
      <c r="C17" s="15"/>
    </row>
    <row r="18" spans="1:3" x14ac:dyDescent="0.25">
      <c r="A18" s="13"/>
      <c r="B18" s="14"/>
      <c r="C18" s="15"/>
    </row>
    <row r="19" spans="1:3" x14ac:dyDescent="0.25">
      <c r="A19" s="13"/>
      <c r="B19" s="14"/>
      <c r="C19" s="15"/>
    </row>
    <row r="20" spans="1:3" x14ac:dyDescent="0.25">
      <c r="A20" s="16"/>
      <c r="B20" s="17"/>
      <c r="C20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zoomScale="90" zoomScaleNormal="90" workbookViewId="0">
      <selection activeCell="H11" sqref="H11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6" max="6" width="14.5" bestFit="1" customWidth="1"/>
    <col min="8" max="8" width="17.75" bestFit="1" customWidth="1"/>
    <col min="9" max="9" width="16.5" bestFit="1" customWidth="1"/>
    <col min="12" max="13" width="11.125" bestFit="1" customWidth="1"/>
    <col min="14" max="14" width="26.375" bestFit="1" customWidth="1"/>
    <col min="15" max="15" width="25" bestFit="1" customWidth="1"/>
    <col min="18" max="18" width="28" bestFit="1" customWidth="1"/>
    <col min="19" max="19" width="26.25" bestFit="1" customWidth="1"/>
    <col min="20" max="20" width="16.375" bestFit="1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2064</v>
      </c>
      <c r="T1" s="1" t="s">
        <v>2065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>
        <f>ROUND(E2/D2*100,0)</f>
        <v>0</v>
      </c>
      <c r="G2" s="4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s="19">
        <f>(((L2/60)/60)/24)+DATE(1970,1,1)</f>
        <v>42336.25</v>
      </c>
      <c r="O2" s="19">
        <f>(((M2/60)/60)/24)+DATE(1970,1,1)</f>
        <v>42353.25</v>
      </c>
      <c r="P2" t="b">
        <v>0</v>
      </c>
      <c r="Q2" t="b">
        <v>0</v>
      </c>
      <c r="R2" t="s">
        <v>17</v>
      </c>
      <c r="S2" t="s">
        <v>2031</v>
      </c>
      <c r="T2" t="s">
        <v>2032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 t="shared" ref="F3:F66" si="0">ROUND(E3/D3*100,0)</f>
        <v>1040</v>
      </c>
      <c r="G3" s="5" t="s">
        <v>20</v>
      </c>
      <c r="H3">
        <v>158</v>
      </c>
      <c r="I3">
        <f t="shared" ref="I3:I66" si="1">ROUND(E3/H3,2)</f>
        <v>92.15</v>
      </c>
      <c r="J3" t="s">
        <v>21</v>
      </c>
      <c r="K3" t="s">
        <v>22</v>
      </c>
      <c r="L3">
        <v>1408424400</v>
      </c>
      <c r="M3">
        <v>1408597200</v>
      </c>
      <c r="N3" s="19">
        <f t="shared" ref="N3:N66" si="2">(((L3/60)/60)/24)+DATE(1970,1,1)</f>
        <v>41870.208333333336</v>
      </c>
      <c r="O3" s="19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t="s">
        <v>2033</v>
      </c>
      <c r="T3" t="s">
        <v>2034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>
        <f t="shared" si="0"/>
        <v>131</v>
      </c>
      <c r="G4" s="5" t="s">
        <v>20</v>
      </c>
      <c r="H4">
        <v>1425</v>
      </c>
      <c r="I4">
        <f t="shared" si="1"/>
        <v>100.02</v>
      </c>
      <c r="J4" t="s">
        <v>26</v>
      </c>
      <c r="K4" t="s">
        <v>27</v>
      </c>
      <c r="L4">
        <v>1384668000</v>
      </c>
      <c r="M4">
        <v>1384840800</v>
      </c>
      <c r="N4" s="19">
        <f t="shared" si="2"/>
        <v>41595.25</v>
      </c>
      <c r="O4" s="19">
        <f t="shared" si="3"/>
        <v>41597.25</v>
      </c>
      <c r="P4" t="b">
        <v>0</v>
      </c>
      <c r="Q4" t="b">
        <v>0</v>
      </c>
      <c r="R4" t="s">
        <v>28</v>
      </c>
      <c r="S4" t="s">
        <v>2035</v>
      </c>
      <c r="T4" t="s">
        <v>2036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>
        <f t="shared" si="0"/>
        <v>59</v>
      </c>
      <c r="G5" s="4" t="s">
        <v>14</v>
      </c>
      <c r="H5">
        <v>24</v>
      </c>
      <c r="I5">
        <f t="shared" si="1"/>
        <v>103.21</v>
      </c>
      <c r="J5" t="s">
        <v>21</v>
      </c>
      <c r="K5" t="s">
        <v>22</v>
      </c>
      <c r="L5">
        <v>1565499600</v>
      </c>
      <c r="M5">
        <v>1568955600</v>
      </c>
      <c r="N5" s="19">
        <f t="shared" si="2"/>
        <v>43688.208333333328</v>
      </c>
      <c r="O5" s="19">
        <f t="shared" si="3"/>
        <v>43728.208333333328</v>
      </c>
      <c r="P5" t="b">
        <v>0</v>
      </c>
      <c r="Q5" t="b">
        <v>0</v>
      </c>
      <c r="R5" t="s">
        <v>23</v>
      </c>
      <c r="S5" t="s">
        <v>2033</v>
      </c>
      <c r="T5" t="s">
        <v>2034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>
        <f t="shared" si="0"/>
        <v>69</v>
      </c>
      <c r="G6" s="4" t="s">
        <v>14</v>
      </c>
      <c r="H6">
        <v>53</v>
      </c>
      <c r="I6">
        <f t="shared" si="1"/>
        <v>99.34</v>
      </c>
      <c r="J6" t="s">
        <v>21</v>
      </c>
      <c r="K6" t="s">
        <v>22</v>
      </c>
      <c r="L6">
        <v>1547964000</v>
      </c>
      <c r="M6">
        <v>1548309600</v>
      </c>
      <c r="N6" s="19">
        <f t="shared" si="2"/>
        <v>43485.25</v>
      </c>
      <c r="O6" s="19">
        <f t="shared" si="3"/>
        <v>43489.25</v>
      </c>
      <c r="P6" t="b">
        <v>0</v>
      </c>
      <c r="Q6" t="b">
        <v>0</v>
      </c>
      <c r="R6" t="s">
        <v>33</v>
      </c>
      <c r="S6" t="s">
        <v>2037</v>
      </c>
      <c r="T6" t="s">
        <v>2038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>
        <f t="shared" si="0"/>
        <v>174</v>
      </c>
      <c r="G7" s="5" t="s">
        <v>20</v>
      </c>
      <c r="H7">
        <v>174</v>
      </c>
      <c r="I7">
        <f t="shared" si="1"/>
        <v>75.83</v>
      </c>
      <c r="J7" t="s">
        <v>36</v>
      </c>
      <c r="K7" t="s">
        <v>37</v>
      </c>
      <c r="L7">
        <v>1346130000</v>
      </c>
      <c r="M7">
        <v>1347080400</v>
      </c>
      <c r="N7" s="19">
        <f t="shared" si="2"/>
        <v>41149.208333333336</v>
      </c>
      <c r="O7" s="19">
        <f t="shared" si="3"/>
        <v>41160.208333333336</v>
      </c>
      <c r="P7" t="b">
        <v>0</v>
      </c>
      <c r="Q7" t="b">
        <v>0</v>
      </c>
      <c r="R7" t="s">
        <v>33</v>
      </c>
      <c r="S7" t="s">
        <v>2037</v>
      </c>
      <c r="T7" t="s">
        <v>2038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>
        <f t="shared" si="0"/>
        <v>21</v>
      </c>
      <c r="G8" s="4" t="s">
        <v>14</v>
      </c>
      <c r="H8">
        <v>18</v>
      </c>
      <c r="I8">
        <f t="shared" si="1"/>
        <v>60.56</v>
      </c>
      <c r="J8" t="s">
        <v>40</v>
      </c>
      <c r="K8" t="s">
        <v>41</v>
      </c>
      <c r="L8">
        <v>1505278800</v>
      </c>
      <c r="M8">
        <v>1505365200</v>
      </c>
      <c r="N8" s="19">
        <f t="shared" si="2"/>
        <v>42991.208333333328</v>
      </c>
      <c r="O8" s="19">
        <f t="shared" si="3"/>
        <v>42992.208333333328</v>
      </c>
      <c r="P8" t="b">
        <v>0</v>
      </c>
      <c r="Q8" t="b">
        <v>0</v>
      </c>
      <c r="R8" t="s">
        <v>42</v>
      </c>
      <c r="S8" t="s">
        <v>2039</v>
      </c>
      <c r="T8" t="s">
        <v>2040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>
        <f t="shared" si="0"/>
        <v>328</v>
      </c>
      <c r="G9" s="5" t="s">
        <v>20</v>
      </c>
      <c r="H9">
        <v>227</v>
      </c>
      <c r="I9">
        <f t="shared" si="1"/>
        <v>64.94</v>
      </c>
      <c r="J9" t="s">
        <v>36</v>
      </c>
      <c r="K9" t="s">
        <v>37</v>
      </c>
      <c r="L9">
        <v>1439442000</v>
      </c>
      <c r="M9">
        <v>1439614800</v>
      </c>
      <c r="N9" s="19">
        <f t="shared" si="2"/>
        <v>42229.208333333328</v>
      </c>
      <c r="O9" s="19">
        <f t="shared" si="3"/>
        <v>42231.208333333328</v>
      </c>
      <c r="P9" t="b">
        <v>0</v>
      </c>
      <c r="Q9" t="b">
        <v>0</v>
      </c>
      <c r="R9" t="s">
        <v>33</v>
      </c>
      <c r="S9" t="s">
        <v>2037</v>
      </c>
      <c r="T9" t="s">
        <v>2038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>
        <f t="shared" si="0"/>
        <v>20</v>
      </c>
      <c r="G10" s="6" t="s">
        <v>47</v>
      </c>
      <c r="H10">
        <v>708</v>
      </c>
      <c r="I10">
        <f t="shared" si="1"/>
        <v>31</v>
      </c>
      <c r="J10" t="s">
        <v>36</v>
      </c>
      <c r="K10" t="s">
        <v>37</v>
      </c>
      <c r="L10">
        <v>1281330000</v>
      </c>
      <c r="M10">
        <v>1281502800</v>
      </c>
      <c r="N10" s="19">
        <f t="shared" si="2"/>
        <v>40399.208333333336</v>
      </c>
      <c r="O10" s="19">
        <f t="shared" si="3"/>
        <v>40401.208333333336</v>
      </c>
      <c r="P10" t="b">
        <v>0</v>
      </c>
      <c r="Q10" t="b">
        <v>0</v>
      </c>
      <c r="R10" t="s">
        <v>33</v>
      </c>
      <c r="S10" t="s">
        <v>2037</v>
      </c>
      <c r="T10" t="s">
        <v>2038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>
        <f t="shared" si="0"/>
        <v>52</v>
      </c>
      <c r="G11" s="4" t="s">
        <v>14</v>
      </c>
      <c r="H11">
        <v>44</v>
      </c>
      <c r="I11">
        <f t="shared" si="1"/>
        <v>72.91</v>
      </c>
      <c r="J11" t="s">
        <v>21</v>
      </c>
      <c r="K11" t="s">
        <v>22</v>
      </c>
      <c r="L11">
        <v>1379566800</v>
      </c>
      <c r="M11">
        <v>1383804000</v>
      </c>
      <c r="N11" s="19">
        <f t="shared" si="2"/>
        <v>41536.208333333336</v>
      </c>
      <c r="O11" s="19">
        <f t="shared" si="3"/>
        <v>41585.25</v>
      </c>
      <c r="P11" t="b">
        <v>0</v>
      </c>
      <c r="Q11" t="b">
        <v>0</v>
      </c>
      <c r="R11" t="s">
        <v>50</v>
      </c>
      <c r="S11" t="s">
        <v>2033</v>
      </c>
      <c r="T11" t="s">
        <v>2041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>
        <f t="shared" si="0"/>
        <v>266</v>
      </c>
      <c r="G12" s="5" t="s">
        <v>20</v>
      </c>
      <c r="H12">
        <v>220</v>
      </c>
      <c r="I12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19">
        <f t="shared" si="2"/>
        <v>40404.208333333336</v>
      </c>
      <c r="O12" s="19">
        <f t="shared" si="3"/>
        <v>40452.208333333336</v>
      </c>
      <c r="P12" t="b">
        <v>0</v>
      </c>
      <c r="Q12" t="b">
        <v>0</v>
      </c>
      <c r="R12" t="s">
        <v>53</v>
      </c>
      <c r="S12" t="s">
        <v>2039</v>
      </c>
      <c r="T12" t="s">
        <v>2042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>
        <f t="shared" si="0"/>
        <v>48</v>
      </c>
      <c r="G13" s="4" t="s">
        <v>14</v>
      </c>
      <c r="H13">
        <v>27</v>
      </c>
      <c r="I13">
        <f t="shared" si="1"/>
        <v>112.22</v>
      </c>
      <c r="J13" t="s">
        <v>21</v>
      </c>
      <c r="K13" t="s">
        <v>22</v>
      </c>
      <c r="L13">
        <v>1285045200</v>
      </c>
      <c r="M13">
        <v>1285563600</v>
      </c>
      <c r="N13" s="19">
        <f t="shared" si="2"/>
        <v>40442.208333333336</v>
      </c>
      <c r="O13" s="19">
        <f t="shared" si="3"/>
        <v>40448.208333333336</v>
      </c>
      <c r="P13" t="b">
        <v>0</v>
      </c>
      <c r="Q13" t="b">
        <v>1</v>
      </c>
      <c r="R13" t="s">
        <v>33</v>
      </c>
      <c r="S13" t="s">
        <v>2037</v>
      </c>
      <c r="T13" t="s">
        <v>2038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>
        <f t="shared" si="0"/>
        <v>89</v>
      </c>
      <c r="G14" s="4" t="s">
        <v>14</v>
      </c>
      <c r="H14">
        <v>55</v>
      </c>
      <c r="I14">
        <f t="shared" si="1"/>
        <v>102.35</v>
      </c>
      <c r="J14" t="s">
        <v>21</v>
      </c>
      <c r="K14" t="s">
        <v>22</v>
      </c>
      <c r="L14">
        <v>1571720400</v>
      </c>
      <c r="M14">
        <v>1572411600</v>
      </c>
      <c r="N14" s="19">
        <f t="shared" si="2"/>
        <v>43760.208333333328</v>
      </c>
      <c r="O14" s="19">
        <f t="shared" si="3"/>
        <v>43768.208333333328</v>
      </c>
      <c r="P14" t="b">
        <v>0</v>
      </c>
      <c r="Q14" t="b">
        <v>0</v>
      </c>
      <c r="R14" t="s">
        <v>53</v>
      </c>
      <c r="S14" t="s">
        <v>2039</v>
      </c>
      <c r="T14" t="s">
        <v>2042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>
        <f t="shared" si="0"/>
        <v>245</v>
      </c>
      <c r="G15" s="5" t="s">
        <v>20</v>
      </c>
      <c r="H15">
        <v>98</v>
      </c>
      <c r="I15">
        <f t="shared" si="1"/>
        <v>105.05</v>
      </c>
      <c r="J15" t="s">
        <v>21</v>
      </c>
      <c r="K15" t="s">
        <v>22</v>
      </c>
      <c r="L15">
        <v>1465621200</v>
      </c>
      <c r="M15">
        <v>1466658000</v>
      </c>
      <c r="N15" s="19">
        <f t="shared" si="2"/>
        <v>42532.208333333328</v>
      </c>
      <c r="O15" s="19">
        <f t="shared" si="3"/>
        <v>42544.208333333328</v>
      </c>
      <c r="P15" t="b">
        <v>0</v>
      </c>
      <c r="Q15" t="b">
        <v>0</v>
      </c>
      <c r="R15" t="s">
        <v>60</v>
      </c>
      <c r="S15" t="s">
        <v>2033</v>
      </c>
      <c r="T15" t="s">
        <v>2043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>
        <f t="shared" si="0"/>
        <v>67</v>
      </c>
      <c r="G16" s="4" t="s">
        <v>14</v>
      </c>
      <c r="H16">
        <v>200</v>
      </c>
      <c r="I16">
        <f t="shared" si="1"/>
        <v>94.15</v>
      </c>
      <c r="J16" t="s">
        <v>21</v>
      </c>
      <c r="K16" t="s">
        <v>22</v>
      </c>
      <c r="L16">
        <v>1331013600</v>
      </c>
      <c r="M16">
        <v>1333342800</v>
      </c>
      <c r="N16" s="19">
        <f t="shared" si="2"/>
        <v>40974.25</v>
      </c>
      <c r="O16" s="19">
        <f t="shared" si="3"/>
        <v>41001.208333333336</v>
      </c>
      <c r="P16" t="b">
        <v>0</v>
      </c>
      <c r="Q16" t="b">
        <v>0</v>
      </c>
      <c r="R16" t="s">
        <v>60</v>
      </c>
      <c r="S16" t="s">
        <v>2033</v>
      </c>
      <c r="T16" t="s">
        <v>2043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>
        <f t="shared" si="0"/>
        <v>47</v>
      </c>
      <c r="G17" s="4" t="s">
        <v>14</v>
      </c>
      <c r="H17">
        <v>452</v>
      </c>
      <c r="I17">
        <f t="shared" si="1"/>
        <v>84.99</v>
      </c>
      <c r="J17" t="s">
        <v>21</v>
      </c>
      <c r="K17" t="s">
        <v>22</v>
      </c>
      <c r="L17">
        <v>1575957600</v>
      </c>
      <c r="M17">
        <v>1576303200</v>
      </c>
      <c r="N17" s="19">
        <f t="shared" si="2"/>
        <v>43809.25</v>
      </c>
      <c r="O17" s="19">
        <f t="shared" si="3"/>
        <v>43813.25</v>
      </c>
      <c r="P17" t="b">
        <v>0</v>
      </c>
      <c r="Q17" t="b">
        <v>0</v>
      </c>
      <c r="R17" t="s">
        <v>65</v>
      </c>
      <c r="S17" t="s">
        <v>2035</v>
      </c>
      <c r="T17" t="s">
        <v>2044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>
        <f t="shared" si="0"/>
        <v>649</v>
      </c>
      <c r="G18" s="5" t="s">
        <v>20</v>
      </c>
      <c r="H18">
        <v>100</v>
      </c>
      <c r="I18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19">
        <f t="shared" si="2"/>
        <v>41661.25</v>
      </c>
      <c r="O18" s="19">
        <f t="shared" si="3"/>
        <v>41683.25</v>
      </c>
      <c r="P18" t="b">
        <v>0</v>
      </c>
      <c r="Q18" t="b">
        <v>0</v>
      </c>
      <c r="R18" t="s">
        <v>68</v>
      </c>
      <c r="S18" t="s">
        <v>2045</v>
      </c>
      <c r="T18" t="s">
        <v>2046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>
        <f t="shared" si="0"/>
        <v>159</v>
      </c>
      <c r="G19" s="5" t="s">
        <v>20</v>
      </c>
      <c r="H19">
        <v>1249</v>
      </c>
      <c r="I19">
        <f t="shared" si="1"/>
        <v>107.96</v>
      </c>
      <c r="J19" t="s">
        <v>21</v>
      </c>
      <c r="K19" t="s">
        <v>22</v>
      </c>
      <c r="L19">
        <v>1294812000</v>
      </c>
      <c r="M19">
        <v>1294898400</v>
      </c>
      <c r="N19" s="19">
        <f t="shared" si="2"/>
        <v>40555.25</v>
      </c>
      <c r="O19" s="19">
        <f t="shared" si="3"/>
        <v>40556.25</v>
      </c>
      <c r="P19" t="b">
        <v>0</v>
      </c>
      <c r="Q19" t="b">
        <v>0</v>
      </c>
      <c r="R19" t="s">
        <v>71</v>
      </c>
      <c r="S19" t="s">
        <v>2039</v>
      </c>
      <c r="T19" t="s">
        <v>2047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>
        <f t="shared" si="0"/>
        <v>67</v>
      </c>
      <c r="G20" s="7" t="s">
        <v>74</v>
      </c>
      <c r="H20">
        <v>135</v>
      </c>
      <c r="I20">
        <f t="shared" si="1"/>
        <v>45.1</v>
      </c>
      <c r="J20" t="s">
        <v>21</v>
      </c>
      <c r="K20" t="s">
        <v>22</v>
      </c>
      <c r="L20">
        <v>1536382800</v>
      </c>
      <c r="M20">
        <v>1537074000</v>
      </c>
      <c r="N20" s="19">
        <f t="shared" si="2"/>
        <v>43351.208333333328</v>
      </c>
      <c r="O20" s="19">
        <f t="shared" si="3"/>
        <v>43359.208333333328</v>
      </c>
      <c r="P20" t="b">
        <v>0</v>
      </c>
      <c r="Q20" t="b">
        <v>0</v>
      </c>
      <c r="R20" t="s">
        <v>33</v>
      </c>
      <c r="S20" t="s">
        <v>2037</v>
      </c>
      <c r="T20" t="s">
        <v>2038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>
        <f t="shared" si="0"/>
        <v>49</v>
      </c>
      <c r="G21" s="4" t="s">
        <v>14</v>
      </c>
      <c r="H21">
        <v>674</v>
      </c>
      <c r="I21">
        <f t="shared" si="1"/>
        <v>45</v>
      </c>
      <c r="J21" t="s">
        <v>21</v>
      </c>
      <c r="K21" t="s">
        <v>22</v>
      </c>
      <c r="L21">
        <v>1551679200</v>
      </c>
      <c r="M21">
        <v>1553490000</v>
      </c>
      <c r="N21" s="19">
        <f t="shared" si="2"/>
        <v>43528.25</v>
      </c>
      <c r="O21" s="19">
        <f t="shared" si="3"/>
        <v>43549.208333333328</v>
      </c>
      <c r="P21" t="b">
        <v>0</v>
      </c>
      <c r="Q21" t="b">
        <v>1</v>
      </c>
      <c r="R21" t="s">
        <v>33</v>
      </c>
      <c r="S21" t="s">
        <v>2037</v>
      </c>
      <c r="T21" t="s">
        <v>2038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>
        <f t="shared" si="0"/>
        <v>112</v>
      </c>
      <c r="G22" s="5" t="s">
        <v>20</v>
      </c>
      <c r="H22">
        <v>1396</v>
      </c>
      <c r="I22">
        <f t="shared" si="1"/>
        <v>105.97</v>
      </c>
      <c r="J22" t="s">
        <v>21</v>
      </c>
      <c r="K22" t="s">
        <v>22</v>
      </c>
      <c r="L22">
        <v>1406523600</v>
      </c>
      <c r="M22">
        <v>1406523600</v>
      </c>
      <c r="N22" s="19">
        <f t="shared" si="2"/>
        <v>41848.208333333336</v>
      </c>
      <c r="O22" s="19">
        <f t="shared" si="3"/>
        <v>41848.208333333336</v>
      </c>
      <c r="P22" t="b">
        <v>0</v>
      </c>
      <c r="Q22" t="b">
        <v>0</v>
      </c>
      <c r="R22" t="s">
        <v>53</v>
      </c>
      <c r="S22" t="s">
        <v>2039</v>
      </c>
      <c r="T22" t="s">
        <v>2042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>
        <f t="shared" si="0"/>
        <v>41</v>
      </c>
      <c r="G23" s="4" t="s">
        <v>14</v>
      </c>
      <c r="H23">
        <v>558</v>
      </c>
      <c r="I23">
        <f t="shared" si="1"/>
        <v>69.06</v>
      </c>
      <c r="J23" t="s">
        <v>21</v>
      </c>
      <c r="K23" t="s">
        <v>22</v>
      </c>
      <c r="L23">
        <v>1313384400</v>
      </c>
      <c r="M23">
        <v>1316322000</v>
      </c>
      <c r="N23" s="19">
        <f t="shared" si="2"/>
        <v>40770.208333333336</v>
      </c>
      <c r="O23" s="19">
        <f t="shared" si="3"/>
        <v>40804.208333333336</v>
      </c>
      <c r="P23" t="b">
        <v>0</v>
      </c>
      <c r="Q23" t="b">
        <v>0</v>
      </c>
      <c r="R23" t="s">
        <v>33</v>
      </c>
      <c r="S23" t="s">
        <v>2037</v>
      </c>
      <c r="T23" t="s">
        <v>2038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>
        <f t="shared" si="0"/>
        <v>128</v>
      </c>
      <c r="G24" s="5" t="s">
        <v>20</v>
      </c>
      <c r="H24">
        <v>890</v>
      </c>
      <c r="I24">
        <f t="shared" si="1"/>
        <v>85.04</v>
      </c>
      <c r="J24" t="s">
        <v>21</v>
      </c>
      <c r="K24" t="s">
        <v>22</v>
      </c>
      <c r="L24">
        <v>1522731600</v>
      </c>
      <c r="M24">
        <v>1524027600</v>
      </c>
      <c r="N24" s="19">
        <f t="shared" si="2"/>
        <v>43193.208333333328</v>
      </c>
      <c r="O24" s="19">
        <f t="shared" si="3"/>
        <v>43208.208333333328</v>
      </c>
      <c r="P24" t="b">
        <v>0</v>
      </c>
      <c r="Q24" t="b">
        <v>0</v>
      </c>
      <c r="R24" t="s">
        <v>33</v>
      </c>
      <c r="S24" t="s">
        <v>2037</v>
      </c>
      <c r="T24" t="s">
        <v>2038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>
        <f t="shared" si="0"/>
        <v>332</v>
      </c>
      <c r="G25" s="5" t="s">
        <v>20</v>
      </c>
      <c r="H25">
        <v>142</v>
      </c>
      <c r="I25">
        <f t="shared" si="1"/>
        <v>105.23</v>
      </c>
      <c r="J25" t="s">
        <v>40</v>
      </c>
      <c r="K25" t="s">
        <v>41</v>
      </c>
      <c r="L25">
        <v>1550124000</v>
      </c>
      <c r="M25">
        <v>1554699600</v>
      </c>
      <c r="N25" s="19">
        <f t="shared" si="2"/>
        <v>43510.25</v>
      </c>
      <c r="O25" s="19">
        <f t="shared" si="3"/>
        <v>43563.208333333328</v>
      </c>
      <c r="P25" t="b">
        <v>0</v>
      </c>
      <c r="Q25" t="b">
        <v>0</v>
      </c>
      <c r="R25" t="s">
        <v>42</v>
      </c>
      <c r="S25" t="s">
        <v>2039</v>
      </c>
      <c r="T25" t="s">
        <v>2040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>
        <f t="shared" si="0"/>
        <v>113</v>
      </c>
      <c r="G26" s="5" t="s">
        <v>20</v>
      </c>
      <c r="H26">
        <v>2673</v>
      </c>
      <c r="I26">
        <f t="shared" si="1"/>
        <v>39</v>
      </c>
      <c r="J26" t="s">
        <v>21</v>
      </c>
      <c r="K26" t="s">
        <v>22</v>
      </c>
      <c r="L26">
        <v>1403326800</v>
      </c>
      <c r="M26">
        <v>1403499600</v>
      </c>
      <c r="N26" s="19">
        <f t="shared" si="2"/>
        <v>41811.208333333336</v>
      </c>
      <c r="O26" s="19">
        <f t="shared" si="3"/>
        <v>41813.208333333336</v>
      </c>
      <c r="P26" t="b">
        <v>0</v>
      </c>
      <c r="Q26" t="b">
        <v>0</v>
      </c>
      <c r="R26" t="s">
        <v>65</v>
      </c>
      <c r="S26" t="s">
        <v>2035</v>
      </c>
      <c r="T26" t="s">
        <v>2044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>
        <f t="shared" si="0"/>
        <v>216</v>
      </c>
      <c r="G27" s="5" t="s">
        <v>20</v>
      </c>
      <c r="H27">
        <v>163</v>
      </c>
      <c r="I27">
        <f t="shared" si="1"/>
        <v>73.03</v>
      </c>
      <c r="J27" t="s">
        <v>21</v>
      </c>
      <c r="K27" t="s">
        <v>22</v>
      </c>
      <c r="L27">
        <v>1305694800</v>
      </c>
      <c r="M27">
        <v>1307422800</v>
      </c>
      <c r="N27" s="19">
        <f t="shared" si="2"/>
        <v>40681.208333333336</v>
      </c>
      <c r="O27" s="19">
        <f t="shared" si="3"/>
        <v>40701.208333333336</v>
      </c>
      <c r="P27" t="b">
        <v>0</v>
      </c>
      <c r="Q27" t="b">
        <v>1</v>
      </c>
      <c r="R27" t="s">
        <v>89</v>
      </c>
      <c r="S27" t="s">
        <v>2048</v>
      </c>
      <c r="T27" t="s">
        <v>2049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>
        <f t="shared" si="0"/>
        <v>48</v>
      </c>
      <c r="G28" s="7" t="s">
        <v>74</v>
      </c>
      <c r="H28">
        <v>1480</v>
      </c>
      <c r="I28">
        <f t="shared" si="1"/>
        <v>35.01</v>
      </c>
      <c r="J28" t="s">
        <v>21</v>
      </c>
      <c r="K28" t="s">
        <v>22</v>
      </c>
      <c r="L28">
        <v>1533013200</v>
      </c>
      <c r="M28">
        <v>1535346000</v>
      </c>
      <c r="N28" s="19">
        <f t="shared" si="2"/>
        <v>43312.208333333328</v>
      </c>
      <c r="O28" s="19">
        <f t="shared" si="3"/>
        <v>43339.208333333328</v>
      </c>
      <c r="P28" t="b">
        <v>0</v>
      </c>
      <c r="Q28" t="b">
        <v>0</v>
      </c>
      <c r="R28" t="s">
        <v>33</v>
      </c>
      <c r="S28" t="s">
        <v>2037</v>
      </c>
      <c r="T28" t="s">
        <v>2038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>
        <f t="shared" si="0"/>
        <v>80</v>
      </c>
      <c r="G29" s="4" t="s">
        <v>14</v>
      </c>
      <c r="H29">
        <v>15</v>
      </c>
      <c r="I29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19">
        <f t="shared" si="2"/>
        <v>42280.208333333328</v>
      </c>
      <c r="O29" s="19">
        <f t="shared" si="3"/>
        <v>42288.208333333328</v>
      </c>
      <c r="P29" t="b">
        <v>0</v>
      </c>
      <c r="Q29" t="b">
        <v>0</v>
      </c>
      <c r="R29" t="s">
        <v>23</v>
      </c>
      <c r="S29" t="s">
        <v>2033</v>
      </c>
      <c r="T29" t="s">
        <v>2034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>
        <f t="shared" si="0"/>
        <v>105</v>
      </c>
      <c r="G30" s="5" t="s">
        <v>20</v>
      </c>
      <c r="H30">
        <v>2220</v>
      </c>
      <c r="I30">
        <f t="shared" si="1"/>
        <v>62</v>
      </c>
      <c r="J30" t="s">
        <v>21</v>
      </c>
      <c r="K30" t="s">
        <v>22</v>
      </c>
      <c r="L30">
        <v>1265695200</v>
      </c>
      <c r="M30">
        <v>1267682400</v>
      </c>
      <c r="N30" s="19">
        <f t="shared" si="2"/>
        <v>40218.25</v>
      </c>
      <c r="O30" s="19">
        <f t="shared" si="3"/>
        <v>40241.25</v>
      </c>
      <c r="P30" t="b">
        <v>0</v>
      </c>
      <c r="Q30" t="b">
        <v>1</v>
      </c>
      <c r="R30" t="s">
        <v>33</v>
      </c>
      <c r="S30" t="s">
        <v>2037</v>
      </c>
      <c r="T30" t="s">
        <v>2038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>
        <f t="shared" si="0"/>
        <v>329</v>
      </c>
      <c r="G31" s="5" t="s">
        <v>20</v>
      </c>
      <c r="H31">
        <v>1606</v>
      </c>
      <c r="I31">
        <f t="shared" si="1"/>
        <v>94</v>
      </c>
      <c r="J31" t="s">
        <v>98</v>
      </c>
      <c r="K31" t="s">
        <v>99</v>
      </c>
      <c r="L31">
        <v>1532062800</v>
      </c>
      <c r="M31">
        <v>1535518800</v>
      </c>
      <c r="N31" s="19">
        <f t="shared" si="2"/>
        <v>43301.208333333328</v>
      </c>
      <c r="O31" s="19">
        <f t="shared" si="3"/>
        <v>43341.208333333328</v>
      </c>
      <c r="P31" t="b">
        <v>0</v>
      </c>
      <c r="Q31" t="b">
        <v>0</v>
      </c>
      <c r="R31" t="s">
        <v>100</v>
      </c>
      <c r="S31" t="s">
        <v>2039</v>
      </c>
      <c r="T31" t="s">
        <v>2050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>
        <f t="shared" si="0"/>
        <v>161</v>
      </c>
      <c r="G32" s="5" t="s">
        <v>20</v>
      </c>
      <c r="H32">
        <v>129</v>
      </c>
      <c r="I32">
        <f t="shared" si="1"/>
        <v>112.05</v>
      </c>
      <c r="J32" t="s">
        <v>21</v>
      </c>
      <c r="K32" t="s">
        <v>22</v>
      </c>
      <c r="L32">
        <v>1558674000</v>
      </c>
      <c r="M32">
        <v>1559106000</v>
      </c>
      <c r="N32" s="19">
        <f t="shared" si="2"/>
        <v>43609.208333333328</v>
      </c>
      <c r="O32" s="19">
        <f t="shared" si="3"/>
        <v>43614.208333333328</v>
      </c>
      <c r="P32" t="b">
        <v>0</v>
      </c>
      <c r="Q32" t="b">
        <v>0</v>
      </c>
      <c r="R32" t="s">
        <v>71</v>
      </c>
      <c r="S32" t="s">
        <v>2039</v>
      </c>
      <c r="T32" t="s">
        <v>2047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>
        <f t="shared" si="0"/>
        <v>310</v>
      </c>
      <c r="G33" s="5" t="s">
        <v>20</v>
      </c>
      <c r="H33">
        <v>226</v>
      </c>
      <c r="I33">
        <f t="shared" si="1"/>
        <v>48.01</v>
      </c>
      <c r="J33" t="s">
        <v>40</v>
      </c>
      <c r="K33" t="s">
        <v>41</v>
      </c>
      <c r="L33">
        <v>1451973600</v>
      </c>
      <c r="M33">
        <v>1454392800</v>
      </c>
      <c r="N33" s="19">
        <f t="shared" si="2"/>
        <v>42374.25</v>
      </c>
      <c r="O33" s="19">
        <f t="shared" si="3"/>
        <v>42402.25</v>
      </c>
      <c r="P33" t="b">
        <v>0</v>
      </c>
      <c r="Q33" t="b">
        <v>0</v>
      </c>
      <c r="R33" t="s">
        <v>89</v>
      </c>
      <c r="S33" t="s">
        <v>2048</v>
      </c>
      <c r="T33" t="s">
        <v>2049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>
        <f t="shared" si="0"/>
        <v>87</v>
      </c>
      <c r="G34" s="4" t="s">
        <v>14</v>
      </c>
      <c r="H34">
        <v>2307</v>
      </c>
      <c r="I34">
        <f t="shared" si="1"/>
        <v>38</v>
      </c>
      <c r="J34" t="s">
        <v>107</v>
      </c>
      <c r="K34" t="s">
        <v>108</v>
      </c>
      <c r="L34">
        <v>1515564000</v>
      </c>
      <c r="M34">
        <v>1517896800</v>
      </c>
      <c r="N34" s="19">
        <f t="shared" si="2"/>
        <v>43110.25</v>
      </c>
      <c r="O34" s="19">
        <f t="shared" si="3"/>
        <v>43137.25</v>
      </c>
      <c r="P34" t="b">
        <v>0</v>
      </c>
      <c r="Q34" t="b">
        <v>0</v>
      </c>
      <c r="R34" t="s">
        <v>42</v>
      </c>
      <c r="S34" t="s">
        <v>2039</v>
      </c>
      <c r="T34" t="s">
        <v>2040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>
        <f t="shared" si="0"/>
        <v>378</v>
      </c>
      <c r="G35" s="5" t="s">
        <v>20</v>
      </c>
      <c r="H35">
        <v>5419</v>
      </c>
      <c r="I35">
        <f t="shared" si="1"/>
        <v>35</v>
      </c>
      <c r="J35" t="s">
        <v>21</v>
      </c>
      <c r="K35" t="s">
        <v>22</v>
      </c>
      <c r="L35">
        <v>1412485200</v>
      </c>
      <c r="M35">
        <v>1415685600</v>
      </c>
      <c r="N35" s="19">
        <f t="shared" si="2"/>
        <v>41917.208333333336</v>
      </c>
      <c r="O35" s="19">
        <f t="shared" si="3"/>
        <v>41954.25</v>
      </c>
      <c r="P35" t="b">
        <v>0</v>
      </c>
      <c r="Q35" t="b">
        <v>0</v>
      </c>
      <c r="R35" t="s">
        <v>33</v>
      </c>
      <c r="S35" t="s">
        <v>2037</v>
      </c>
      <c r="T35" t="s">
        <v>2038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>
        <f t="shared" si="0"/>
        <v>151</v>
      </c>
      <c r="G36" s="5" t="s">
        <v>20</v>
      </c>
      <c r="H36">
        <v>165</v>
      </c>
      <c r="I36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19">
        <f t="shared" si="2"/>
        <v>42817.208333333328</v>
      </c>
      <c r="O36" s="19">
        <f t="shared" si="3"/>
        <v>42822.208333333328</v>
      </c>
      <c r="P36" t="b">
        <v>0</v>
      </c>
      <c r="Q36" t="b">
        <v>0</v>
      </c>
      <c r="R36" t="s">
        <v>42</v>
      </c>
      <c r="S36" t="s">
        <v>2039</v>
      </c>
      <c r="T36" t="s">
        <v>2040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>
        <f t="shared" si="0"/>
        <v>150</v>
      </c>
      <c r="G37" s="5" t="s">
        <v>20</v>
      </c>
      <c r="H37">
        <v>1965</v>
      </c>
      <c r="I37">
        <f t="shared" si="1"/>
        <v>95.99</v>
      </c>
      <c r="J37" t="s">
        <v>36</v>
      </c>
      <c r="K37" t="s">
        <v>37</v>
      </c>
      <c r="L37">
        <v>1547877600</v>
      </c>
      <c r="M37">
        <v>1551506400</v>
      </c>
      <c r="N37" s="19">
        <f t="shared" si="2"/>
        <v>43484.25</v>
      </c>
      <c r="O37" s="19">
        <f t="shared" si="3"/>
        <v>43526.25</v>
      </c>
      <c r="P37" t="b">
        <v>0</v>
      </c>
      <c r="Q37" t="b">
        <v>1</v>
      </c>
      <c r="R37" t="s">
        <v>53</v>
      </c>
      <c r="S37" t="s">
        <v>2039</v>
      </c>
      <c r="T37" t="s">
        <v>2042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>
        <f t="shared" si="0"/>
        <v>157</v>
      </c>
      <c r="G38" s="5" t="s">
        <v>20</v>
      </c>
      <c r="H38">
        <v>16</v>
      </c>
      <c r="I38">
        <f t="shared" si="1"/>
        <v>68.81</v>
      </c>
      <c r="J38" t="s">
        <v>21</v>
      </c>
      <c r="K38" t="s">
        <v>22</v>
      </c>
      <c r="L38">
        <v>1298700000</v>
      </c>
      <c r="M38">
        <v>1300856400</v>
      </c>
      <c r="N38" s="19">
        <f t="shared" si="2"/>
        <v>40600.25</v>
      </c>
      <c r="O38" s="19">
        <f t="shared" si="3"/>
        <v>40625.208333333336</v>
      </c>
      <c r="P38" t="b">
        <v>0</v>
      </c>
      <c r="Q38" t="b">
        <v>0</v>
      </c>
      <c r="R38" t="s">
        <v>33</v>
      </c>
      <c r="S38" t="s">
        <v>2037</v>
      </c>
      <c r="T38" t="s">
        <v>2038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>
        <f t="shared" si="0"/>
        <v>140</v>
      </c>
      <c r="G39" s="5" t="s">
        <v>20</v>
      </c>
      <c r="H39">
        <v>107</v>
      </c>
      <c r="I39">
        <f t="shared" si="1"/>
        <v>105.97</v>
      </c>
      <c r="J39" t="s">
        <v>21</v>
      </c>
      <c r="K39" t="s">
        <v>22</v>
      </c>
      <c r="L39">
        <v>1570338000</v>
      </c>
      <c r="M39">
        <v>1573192800</v>
      </c>
      <c r="N39" s="19">
        <f t="shared" si="2"/>
        <v>43744.208333333328</v>
      </c>
      <c r="O39" s="19">
        <f t="shared" si="3"/>
        <v>43777.25</v>
      </c>
      <c r="P39" t="b">
        <v>0</v>
      </c>
      <c r="Q39" t="b">
        <v>1</v>
      </c>
      <c r="R39" t="s">
        <v>119</v>
      </c>
      <c r="S39" t="s">
        <v>2045</v>
      </c>
      <c r="T39" t="s">
        <v>2051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>
        <f t="shared" si="0"/>
        <v>325</v>
      </c>
      <c r="G40" s="5" t="s">
        <v>20</v>
      </c>
      <c r="H40">
        <v>134</v>
      </c>
      <c r="I40">
        <f t="shared" si="1"/>
        <v>75.260000000000005</v>
      </c>
      <c r="J40" t="s">
        <v>21</v>
      </c>
      <c r="K40" t="s">
        <v>22</v>
      </c>
      <c r="L40">
        <v>1287378000</v>
      </c>
      <c r="M40">
        <v>1287810000</v>
      </c>
      <c r="N40" s="19">
        <f t="shared" si="2"/>
        <v>40469.208333333336</v>
      </c>
      <c r="O40" s="19">
        <f t="shared" si="3"/>
        <v>40474.208333333336</v>
      </c>
      <c r="P40" t="b">
        <v>0</v>
      </c>
      <c r="Q40" t="b">
        <v>0</v>
      </c>
      <c r="R40" t="s">
        <v>122</v>
      </c>
      <c r="S40" t="s">
        <v>2052</v>
      </c>
      <c r="T40" t="s">
        <v>2053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>
        <f t="shared" si="0"/>
        <v>51</v>
      </c>
      <c r="G41" s="4" t="s">
        <v>14</v>
      </c>
      <c r="H41">
        <v>88</v>
      </c>
      <c r="I41">
        <f t="shared" si="1"/>
        <v>57.13</v>
      </c>
      <c r="J41" t="s">
        <v>36</v>
      </c>
      <c r="K41" t="s">
        <v>37</v>
      </c>
      <c r="L41">
        <v>1361772000</v>
      </c>
      <c r="M41">
        <v>1362978000</v>
      </c>
      <c r="N41" s="19">
        <f t="shared" si="2"/>
        <v>41330.25</v>
      </c>
      <c r="O41" s="19">
        <f t="shared" si="3"/>
        <v>41344.208333333336</v>
      </c>
      <c r="P41" t="b">
        <v>0</v>
      </c>
      <c r="Q41" t="b">
        <v>0</v>
      </c>
      <c r="R41" t="s">
        <v>33</v>
      </c>
      <c r="S41" t="s">
        <v>2037</v>
      </c>
      <c r="T41" t="s">
        <v>2038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>
        <f t="shared" si="0"/>
        <v>169</v>
      </c>
      <c r="G42" s="5" t="s">
        <v>20</v>
      </c>
      <c r="H42">
        <v>198</v>
      </c>
      <c r="I42">
        <f t="shared" si="1"/>
        <v>75.14</v>
      </c>
      <c r="J42" t="s">
        <v>21</v>
      </c>
      <c r="K42" t="s">
        <v>22</v>
      </c>
      <c r="L42">
        <v>1275714000</v>
      </c>
      <c r="M42">
        <v>1277355600</v>
      </c>
      <c r="N42" s="19">
        <f t="shared" si="2"/>
        <v>40334.208333333336</v>
      </c>
      <c r="O42" s="19">
        <f t="shared" si="3"/>
        <v>40353.208333333336</v>
      </c>
      <c r="P42" t="b">
        <v>0</v>
      </c>
      <c r="Q42" t="b">
        <v>1</v>
      </c>
      <c r="R42" t="s">
        <v>65</v>
      </c>
      <c r="S42" t="s">
        <v>2035</v>
      </c>
      <c r="T42" t="s">
        <v>2044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>
        <f t="shared" si="0"/>
        <v>213</v>
      </c>
      <c r="G43" s="5" t="s">
        <v>20</v>
      </c>
      <c r="H43">
        <v>111</v>
      </c>
      <c r="I43">
        <f t="shared" si="1"/>
        <v>107.42</v>
      </c>
      <c r="J43" t="s">
        <v>107</v>
      </c>
      <c r="K43" t="s">
        <v>108</v>
      </c>
      <c r="L43">
        <v>1346734800</v>
      </c>
      <c r="M43">
        <v>1348981200</v>
      </c>
      <c r="N43" s="19">
        <f t="shared" si="2"/>
        <v>41156.208333333336</v>
      </c>
      <c r="O43" s="19">
        <f t="shared" si="3"/>
        <v>41182.208333333336</v>
      </c>
      <c r="P43" t="b">
        <v>0</v>
      </c>
      <c r="Q43" t="b">
        <v>1</v>
      </c>
      <c r="R43" t="s">
        <v>23</v>
      </c>
      <c r="S43" t="s">
        <v>2033</v>
      </c>
      <c r="T43" t="s">
        <v>2034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>
        <f t="shared" si="0"/>
        <v>444</v>
      </c>
      <c r="G44" s="5" t="s">
        <v>20</v>
      </c>
      <c r="H44">
        <v>222</v>
      </c>
      <c r="I44">
        <f t="shared" si="1"/>
        <v>36</v>
      </c>
      <c r="J44" t="s">
        <v>21</v>
      </c>
      <c r="K44" t="s">
        <v>22</v>
      </c>
      <c r="L44">
        <v>1309755600</v>
      </c>
      <c r="M44">
        <v>1310533200</v>
      </c>
      <c r="N44" s="19">
        <f t="shared" si="2"/>
        <v>40728.208333333336</v>
      </c>
      <c r="O44" s="19">
        <f t="shared" si="3"/>
        <v>40737.208333333336</v>
      </c>
      <c r="P44" t="b">
        <v>0</v>
      </c>
      <c r="Q44" t="b">
        <v>0</v>
      </c>
      <c r="R44" t="s">
        <v>17</v>
      </c>
      <c r="S44" t="s">
        <v>2031</v>
      </c>
      <c r="T44" t="s">
        <v>2032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>
        <f t="shared" si="0"/>
        <v>186</v>
      </c>
      <c r="G45" s="5" t="s">
        <v>20</v>
      </c>
      <c r="H45">
        <v>6212</v>
      </c>
      <c r="I45">
        <f t="shared" si="1"/>
        <v>27</v>
      </c>
      <c r="J45" t="s">
        <v>21</v>
      </c>
      <c r="K45" t="s">
        <v>22</v>
      </c>
      <c r="L45">
        <v>1406178000</v>
      </c>
      <c r="M45">
        <v>1407560400</v>
      </c>
      <c r="N45" s="19">
        <f t="shared" si="2"/>
        <v>41844.208333333336</v>
      </c>
      <c r="O45" s="19">
        <f t="shared" si="3"/>
        <v>41860.208333333336</v>
      </c>
      <c r="P45" t="b">
        <v>0</v>
      </c>
      <c r="Q45" t="b">
        <v>0</v>
      </c>
      <c r="R45" t="s">
        <v>133</v>
      </c>
      <c r="S45" t="s">
        <v>2045</v>
      </c>
      <c r="T45" t="s">
        <v>2054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>
        <f t="shared" si="0"/>
        <v>659</v>
      </c>
      <c r="G46" s="5" t="s">
        <v>20</v>
      </c>
      <c r="H46">
        <v>98</v>
      </c>
      <c r="I46">
        <f t="shared" si="1"/>
        <v>107.56</v>
      </c>
      <c r="J46" t="s">
        <v>36</v>
      </c>
      <c r="K46" t="s">
        <v>37</v>
      </c>
      <c r="L46">
        <v>1552798800</v>
      </c>
      <c r="M46">
        <v>1552885200</v>
      </c>
      <c r="N46" s="19">
        <f t="shared" si="2"/>
        <v>43541.208333333328</v>
      </c>
      <c r="O46" s="19">
        <f t="shared" si="3"/>
        <v>43542.208333333328</v>
      </c>
      <c r="P46" t="b">
        <v>0</v>
      </c>
      <c r="Q46" t="b">
        <v>0</v>
      </c>
      <c r="R46" t="s">
        <v>119</v>
      </c>
      <c r="S46" t="s">
        <v>2045</v>
      </c>
      <c r="T46" t="s">
        <v>2051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>
        <f t="shared" si="0"/>
        <v>48</v>
      </c>
      <c r="G47" s="4" t="s">
        <v>14</v>
      </c>
      <c r="H47">
        <v>48</v>
      </c>
      <c r="I47">
        <f t="shared" si="1"/>
        <v>94.38</v>
      </c>
      <c r="J47" t="s">
        <v>21</v>
      </c>
      <c r="K47" t="s">
        <v>22</v>
      </c>
      <c r="L47">
        <v>1478062800</v>
      </c>
      <c r="M47">
        <v>1479362400</v>
      </c>
      <c r="N47" s="19">
        <f t="shared" si="2"/>
        <v>42676.208333333328</v>
      </c>
      <c r="O47" s="19">
        <f t="shared" si="3"/>
        <v>42691.25</v>
      </c>
      <c r="P47" t="b">
        <v>0</v>
      </c>
      <c r="Q47" t="b">
        <v>1</v>
      </c>
      <c r="R47" t="s">
        <v>33</v>
      </c>
      <c r="S47" t="s">
        <v>2037</v>
      </c>
      <c r="T47" t="s">
        <v>2038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>
        <f t="shared" si="0"/>
        <v>115</v>
      </c>
      <c r="G48" s="5" t="s">
        <v>20</v>
      </c>
      <c r="H48">
        <v>92</v>
      </c>
      <c r="I48">
        <f t="shared" si="1"/>
        <v>46.16</v>
      </c>
      <c r="J48" t="s">
        <v>21</v>
      </c>
      <c r="K48" t="s">
        <v>22</v>
      </c>
      <c r="L48">
        <v>1278565200</v>
      </c>
      <c r="M48">
        <v>1280552400</v>
      </c>
      <c r="N48" s="19">
        <f t="shared" si="2"/>
        <v>40367.208333333336</v>
      </c>
      <c r="O48" s="19">
        <f t="shared" si="3"/>
        <v>40390.208333333336</v>
      </c>
      <c r="P48" t="b">
        <v>0</v>
      </c>
      <c r="Q48" t="b">
        <v>0</v>
      </c>
      <c r="R48" t="s">
        <v>23</v>
      </c>
      <c r="S48" t="s">
        <v>2033</v>
      </c>
      <c r="T48" t="s">
        <v>2034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>
        <f t="shared" si="0"/>
        <v>475</v>
      </c>
      <c r="G49" s="5" t="s">
        <v>20</v>
      </c>
      <c r="H49">
        <v>149</v>
      </c>
      <c r="I49">
        <f t="shared" si="1"/>
        <v>47.85</v>
      </c>
      <c r="J49" t="s">
        <v>21</v>
      </c>
      <c r="K49" t="s">
        <v>22</v>
      </c>
      <c r="L49">
        <v>1396069200</v>
      </c>
      <c r="M49">
        <v>1398661200</v>
      </c>
      <c r="N49" s="19">
        <f t="shared" si="2"/>
        <v>41727.208333333336</v>
      </c>
      <c r="O49" s="19">
        <f t="shared" si="3"/>
        <v>41757.208333333336</v>
      </c>
      <c r="P49" t="b">
        <v>0</v>
      </c>
      <c r="Q49" t="b">
        <v>0</v>
      </c>
      <c r="R49" t="s">
        <v>33</v>
      </c>
      <c r="S49" t="s">
        <v>2037</v>
      </c>
      <c r="T49" t="s">
        <v>2038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>
        <f t="shared" si="0"/>
        <v>387</v>
      </c>
      <c r="G50" s="5" t="s">
        <v>20</v>
      </c>
      <c r="H50">
        <v>2431</v>
      </c>
      <c r="I50">
        <f t="shared" si="1"/>
        <v>53.01</v>
      </c>
      <c r="J50" t="s">
        <v>21</v>
      </c>
      <c r="K50" t="s">
        <v>22</v>
      </c>
      <c r="L50">
        <v>1435208400</v>
      </c>
      <c r="M50">
        <v>1436245200</v>
      </c>
      <c r="N50" s="19">
        <f t="shared" si="2"/>
        <v>42180.208333333328</v>
      </c>
      <c r="O50" s="19">
        <f t="shared" si="3"/>
        <v>42192.208333333328</v>
      </c>
      <c r="P50" t="b">
        <v>0</v>
      </c>
      <c r="Q50" t="b">
        <v>0</v>
      </c>
      <c r="R50" t="s">
        <v>33</v>
      </c>
      <c r="S50" t="s">
        <v>2037</v>
      </c>
      <c r="T50" t="s">
        <v>2038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>
        <f t="shared" si="0"/>
        <v>190</v>
      </c>
      <c r="G51" s="5" t="s">
        <v>20</v>
      </c>
      <c r="H51">
        <v>303</v>
      </c>
      <c r="I51">
        <f t="shared" si="1"/>
        <v>45.06</v>
      </c>
      <c r="J51" t="s">
        <v>21</v>
      </c>
      <c r="K51" t="s">
        <v>22</v>
      </c>
      <c r="L51">
        <v>1571547600</v>
      </c>
      <c r="M51">
        <v>1575439200</v>
      </c>
      <c r="N51" s="19">
        <f t="shared" si="2"/>
        <v>43758.208333333328</v>
      </c>
      <c r="O51" s="19">
        <f t="shared" si="3"/>
        <v>43803.25</v>
      </c>
      <c r="P51" t="b">
        <v>0</v>
      </c>
      <c r="Q51" t="b">
        <v>0</v>
      </c>
      <c r="R51" t="s">
        <v>23</v>
      </c>
      <c r="S51" t="s">
        <v>2033</v>
      </c>
      <c r="T51" t="s">
        <v>2034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>
        <f t="shared" si="0"/>
        <v>2</v>
      </c>
      <c r="G52" s="4" t="s">
        <v>14</v>
      </c>
      <c r="H52">
        <v>1</v>
      </c>
      <c r="I52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19">
        <f t="shared" si="2"/>
        <v>41487.208333333336</v>
      </c>
      <c r="O52" s="19">
        <f t="shared" si="3"/>
        <v>41515.208333333336</v>
      </c>
      <c r="P52" t="b">
        <v>0</v>
      </c>
      <c r="Q52" t="b">
        <v>0</v>
      </c>
      <c r="R52" t="s">
        <v>148</v>
      </c>
      <c r="S52" t="s">
        <v>2033</v>
      </c>
      <c r="T52" t="s">
        <v>2055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>
        <f t="shared" si="0"/>
        <v>92</v>
      </c>
      <c r="G53" s="4" t="s">
        <v>14</v>
      </c>
      <c r="H53">
        <v>1467</v>
      </c>
      <c r="I53">
        <f t="shared" si="1"/>
        <v>99.01</v>
      </c>
      <c r="J53" t="s">
        <v>40</v>
      </c>
      <c r="K53" t="s">
        <v>41</v>
      </c>
      <c r="L53">
        <v>1332824400</v>
      </c>
      <c r="M53">
        <v>1334206800</v>
      </c>
      <c r="N53" s="19">
        <f t="shared" si="2"/>
        <v>40995.208333333336</v>
      </c>
      <c r="O53" s="19">
        <f t="shared" si="3"/>
        <v>41011.208333333336</v>
      </c>
      <c r="P53" t="b">
        <v>0</v>
      </c>
      <c r="Q53" t="b">
        <v>1</v>
      </c>
      <c r="R53" t="s">
        <v>65</v>
      </c>
      <c r="S53" t="s">
        <v>2035</v>
      </c>
      <c r="T53" t="s">
        <v>2044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>
        <f t="shared" si="0"/>
        <v>34</v>
      </c>
      <c r="G54" s="4" t="s">
        <v>14</v>
      </c>
      <c r="H54">
        <v>75</v>
      </c>
      <c r="I54">
        <f t="shared" si="1"/>
        <v>32.79</v>
      </c>
      <c r="J54" t="s">
        <v>21</v>
      </c>
      <c r="K54" t="s">
        <v>22</v>
      </c>
      <c r="L54">
        <v>1284526800</v>
      </c>
      <c r="M54">
        <v>1284872400</v>
      </c>
      <c r="N54" s="19">
        <f t="shared" si="2"/>
        <v>40436.208333333336</v>
      </c>
      <c r="O54" s="19">
        <f t="shared" si="3"/>
        <v>40440.208333333336</v>
      </c>
      <c r="P54" t="b">
        <v>0</v>
      </c>
      <c r="Q54" t="b">
        <v>0</v>
      </c>
      <c r="R54" t="s">
        <v>33</v>
      </c>
      <c r="S54" t="s">
        <v>2037</v>
      </c>
      <c r="T54" t="s">
        <v>2038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>
        <f t="shared" si="0"/>
        <v>140</v>
      </c>
      <c r="G55" s="5" t="s">
        <v>20</v>
      </c>
      <c r="H55">
        <v>209</v>
      </c>
      <c r="I55">
        <f t="shared" si="1"/>
        <v>59.12</v>
      </c>
      <c r="J55" t="s">
        <v>21</v>
      </c>
      <c r="K55" t="s">
        <v>22</v>
      </c>
      <c r="L55">
        <v>1400562000</v>
      </c>
      <c r="M55">
        <v>1403931600</v>
      </c>
      <c r="N55" s="19">
        <f t="shared" si="2"/>
        <v>41779.208333333336</v>
      </c>
      <c r="O55" s="19">
        <f t="shared" si="3"/>
        <v>41818.208333333336</v>
      </c>
      <c r="P55" t="b">
        <v>0</v>
      </c>
      <c r="Q55" t="b">
        <v>0</v>
      </c>
      <c r="R55" t="s">
        <v>53</v>
      </c>
      <c r="S55" t="s">
        <v>2039</v>
      </c>
      <c r="T55" t="s">
        <v>2042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>
        <f t="shared" si="0"/>
        <v>90</v>
      </c>
      <c r="G56" s="4" t="s">
        <v>14</v>
      </c>
      <c r="H56">
        <v>120</v>
      </c>
      <c r="I56">
        <f t="shared" si="1"/>
        <v>44.93</v>
      </c>
      <c r="J56" t="s">
        <v>21</v>
      </c>
      <c r="K56" t="s">
        <v>22</v>
      </c>
      <c r="L56">
        <v>1520748000</v>
      </c>
      <c r="M56">
        <v>1521262800</v>
      </c>
      <c r="N56" s="19">
        <f t="shared" si="2"/>
        <v>43170.25</v>
      </c>
      <c r="O56" s="19">
        <f t="shared" si="3"/>
        <v>43176.208333333328</v>
      </c>
      <c r="P56" t="b">
        <v>0</v>
      </c>
      <c r="Q56" t="b">
        <v>0</v>
      </c>
      <c r="R56" t="s">
        <v>65</v>
      </c>
      <c r="S56" t="s">
        <v>2035</v>
      </c>
      <c r="T56" t="s">
        <v>2044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>
        <f t="shared" si="0"/>
        <v>178</v>
      </c>
      <c r="G57" s="5" t="s">
        <v>20</v>
      </c>
      <c r="H57">
        <v>131</v>
      </c>
      <c r="I57">
        <f t="shared" si="1"/>
        <v>89.66</v>
      </c>
      <c r="J57" t="s">
        <v>21</v>
      </c>
      <c r="K57" t="s">
        <v>22</v>
      </c>
      <c r="L57">
        <v>1532926800</v>
      </c>
      <c r="M57">
        <v>1533358800</v>
      </c>
      <c r="N57" s="19">
        <f t="shared" si="2"/>
        <v>43311.208333333328</v>
      </c>
      <c r="O57" s="19">
        <f t="shared" si="3"/>
        <v>43316.208333333328</v>
      </c>
      <c r="P57" t="b">
        <v>0</v>
      </c>
      <c r="Q57" t="b">
        <v>0</v>
      </c>
      <c r="R57" t="s">
        <v>159</v>
      </c>
      <c r="S57" t="s">
        <v>2033</v>
      </c>
      <c r="T57" t="s">
        <v>2056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>
        <f t="shared" si="0"/>
        <v>144</v>
      </c>
      <c r="G58" s="5" t="s">
        <v>20</v>
      </c>
      <c r="H58">
        <v>164</v>
      </c>
      <c r="I58">
        <f t="shared" si="1"/>
        <v>70.08</v>
      </c>
      <c r="J58" t="s">
        <v>21</v>
      </c>
      <c r="K58" t="s">
        <v>22</v>
      </c>
      <c r="L58">
        <v>1420869600</v>
      </c>
      <c r="M58">
        <v>1421474400</v>
      </c>
      <c r="N58" s="19">
        <f t="shared" si="2"/>
        <v>42014.25</v>
      </c>
      <c r="O58" s="19">
        <f t="shared" si="3"/>
        <v>42021.25</v>
      </c>
      <c r="P58" t="b">
        <v>0</v>
      </c>
      <c r="Q58" t="b">
        <v>0</v>
      </c>
      <c r="R58" t="s">
        <v>65</v>
      </c>
      <c r="S58" t="s">
        <v>2035</v>
      </c>
      <c r="T58" t="s">
        <v>2044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>
        <f t="shared" si="0"/>
        <v>215</v>
      </c>
      <c r="G59" s="5" t="s">
        <v>20</v>
      </c>
      <c r="H59">
        <v>201</v>
      </c>
      <c r="I59">
        <f t="shared" si="1"/>
        <v>31.06</v>
      </c>
      <c r="J59" t="s">
        <v>21</v>
      </c>
      <c r="K59" t="s">
        <v>22</v>
      </c>
      <c r="L59">
        <v>1504242000</v>
      </c>
      <c r="M59">
        <v>1505278800</v>
      </c>
      <c r="N59" s="19">
        <f t="shared" si="2"/>
        <v>42979.208333333328</v>
      </c>
      <c r="O59" s="19">
        <f t="shared" si="3"/>
        <v>42991.208333333328</v>
      </c>
      <c r="P59" t="b">
        <v>0</v>
      </c>
      <c r="Q59" t="b">
        <v>0</v>
      </c>
      <c r="R59" t="s">
        <v>89</v>
      </c>
      <c r="S59" t="s">
        <v>2048</v>
      </c>
      <c r="T59" t="s">
        <v>2049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>
        <f t="shared" si="0"/>
        <v>227</v>
      </c>
      <c r="G60" s="5" t="s">
        <v>20</v>
      </c>
      <c r="H60">
        <v>211</v>
      </c>
      <c r="I60">
        <f t="shared" si="1"/>
        <v>29.06</v>
      </c>
      <c r="J60" t="s">
        <v>21</v>
      </c>
      <c r="K60" t="s">
        <v>22</v>
      </c>
      <c r="L60">
        <v>1442811600</v>
      </c>
      <c r="M60">
        <v>1443934800</v>
      </c>
      <c r="N60" s="19">
        <f t="shared" si="2"/>
        <v>42268.208333333328</v>
      </c>
      <c r="O60" s="19">
        <f t="shared" si="3"/>
        <v>42281.208333333328</v>
      </c>
      <c r="P60" t="b">
        <v>0</v>
      </c>
      <c r="Q60" t="b">
        <v>0</v>
      </c>
      <c r="R60" t="s">
        <v>33</v>
      </c>
      <c r="S60" t="s">
        <v>2037</v>
      </c>
      <c r="T60" t="s">
        <v>2038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>
        <f t="shared" si="0"/>
        <v>275</v>
      </c>
      <c r="G61" s="5" t="s">
        <v>20</v>
      </c>
      <c r="H61">
        <v>128</v>
      </c>
      <c r="I61">
        <f t="shared" si="1"/>
        <v>30.09</v>
      </c>
      <c r="J61" t="s">
        <v>21</v>
      </c>
      <c r="K61" t="s">
        <v>22</v>
      </c>
      <c r="L61">
        <v>1497243600</v>
      </c>
      <c r="M61">
        <v>1498539600</v>
      </c>
      <c r="N61" s="19">
        <f t="shared" si="2"/>
        <v>42898.208333333328</v>
      </c>
      <c r="O61" s="19">
        <f t="shared" si="3"/>
        <v>42913.208333333328</v>
      </c>
      <c r="P61" t="b">
        <v>0</v>
      </c>
      <c r="Q61" t="b">
        <v>1</v>
      </c>
      <c r="R61" t="s">
        <v>33</v>
      </c>
      <c r="S61" t="s">
        <v>2037</v>
      </c>
      <c r="T61" t="s">
        <v>2038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>
        <f t="shared" si="0"/>
        <v>144</v>
      </c>
      <c r="G62" s="5" t="s">
        <v>20</v>
      </c>
      <c r="H62">
        <v>1600</v>
      </c>
      <c r="I62">
        <f t="shared" si="1"/>
        <v>85</v>
      </c>
      <c r="J62" t="s">
        <v>15</v>
      </c>
      <c r="K62" t="s">
        <v>16</v>
      </c>
      <c r="L62">
        <v>1342501200</v>
      </c>
      <c r="M62">
        <v>1342760400</v>
      </c>
      <c r="N62" s="19">
        <f t="shared" si="2"/>
        <v>41107.208333333336</v>
      </c>
      <c r="O62" s="19">
        <f t="shared" si="3"/>
        <v>41110.208333333336</v>
      </c>
      <c r="P62" t="b">
        <v>0</v>
      </c>
      <c r="Q62" t="b">
        <v>0</v>
      </c>
      <c r="R62" t="s">
        <v>33</v>
      </c>
      <c r="S62" t="s">
        <v>2037</v>
      </c>
      <c r="T62" t="s">
        <v>2038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>
        <f t="shared" si="0"/>
        <v>93</v>
      </c>
      <c r="G63" s="4" t="s">
        <v>14</v>
      </c>
      <c r="H63">
        <v>2253</v>
      </c>
      <c r="I63">
        <f t="shared" si="1"/>
        <v>82</v>
      </c>
      <c r="J63" t="s">
        <v>15</v>
      </c>
      <c r="K63" t="s">
        <v>16</v>
      </c>
      <c r="L63">
        <v>1298268000</v>
      </c>
      <c r="M63">
        <v>1301720400</v>
      </c>
      <c r="N63" s="19">
        <f t="shared" si="2"/>
        <v>40595.25</v>
      </c>
      <c r="O63" s="19">
        <f t="shared" si="3"/>
        <v>40635.208333333336</v>
      </c>
      <c r="P63" t="b">
        <v>0</v>
      </c>
      <c r="Q63" t="b">
        <v>0</v>
      </c>
      <c r="R63" t="s">
        <v>33</v>
      </c>
      <c r="S63" t="s">
        <v>2037</v>
      </c>
      <c r="T63" t="s">
        <v>2038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>
        <f t="shared" si="0"/>
        <v>723</v>
      </c>
      <c r="G64" s="5" t="s">
        <v>20</v>
      </c>
      <c r="H64">
        <v>249</v>
      </c>
      <c r="I64">
        <f t="shared" si="1"/>
        <v>58.04</v>
      </c>
      <c r="J64" t="s">
        <v>21</v>
      </c>
      <c r="K64" t="s">
        <v>22</v>
      </c>
      <c r="L64">
        <v>1433480400</v>
      </c>
      <c r="M64">
        <v>1433566800</v>
      </c>
      <c r="N64" s="19">
        <f t="shared" si="2"/>
        <v>42160.208333333328</v>
      </c>
      <c r="O64" s="19">
        <f t="shared" si="3"/>
        <v>42161.208333333328</v>
      </c>
      <c r="P64" t="b">
        <v>0</v>
      </c>
      <c r="Q64" t="b">
        <v>0</v>
      </c>
      <c r="R64" t="s">
        <v>28</v>
      </c>
      <c r="S64" t="s">
        <v>2035</v>
      </c>
      <c r="T64" t="s">
        <v>2036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>
        <f t="shared" si="0"/>
        <v>12</v>
      </c>
      <c r="G65" s="4" t="s">
        <v>14</v>
      </c>
      <c r="H65">
        <v>5</v>
      </c>
      <c r="I65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19">
        <f t="shared" si="2"/>
        <v>42853.208333333328</v>
      </c>
      <c r="O65" s="19">
        <f t="shared" si="3"/>
        <v>42859.208333333328</v>
      </c>
      <c r="P65" t="b">
        <v>0</v>
      </c>
      <c r="Q65" t="b">
        <v>0</v>
      </c>
      <c r="R65" t="s">
        <v>33</v>
      </c>
      <c r="S65" t="s">
        <v>2037</v>
      </c>
      <c r="T65" t="s">
        <v>2038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>
        <f t="shared" si="0"/>
        <v>98</v>
      </c>
      <c r="G66" s="4" t="s">
        <v>14</v>
      </c>
      <c r="H66">
        <v>38</v>
      </c>
      <c r="I66">
        <f t="shared" si="1"/>
        <v>71.95</v>
      </c>
      <c r="J66" t="s">
        <v>21</v>
      </c>
      <c r="K66" t="s">
        <v>22</v>
      </c>
      <c r="L66">
        <v>1530507600</v>
      </c>
      <c r="M66">
        <v>1531803600</v>
      </c>
      <c r="N66" s="19">
        <f t="shared" si="2"/>
        <v>43283.208333333328</v>
      </c>
      <c r="O66" s="19">
        <f t="shared" si="3"/>
        <v>43298.208333333328</v>
      </c>
      <c r="P66" t="b">
        <v>0</v>
      </c>
      <c r="Q66" t="b">
        <v>1</v>
      </c>
      <c r="R66" t="s">
        <v>28</v>
      </c>
      <c r="S66" t="s">
        <v>2035</v>
      </c>
      <c r="T66" t="s">
        <v>2036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>
        <f t="shared" ref="F67:F130" si="4">ROUND(E67/D67*100,0)</f>
        <v>236</v>
      </c>
      <c r="G67" s="5" t="s">
        <v>20</v>
      </c>
      <c r="H67">
        <v>236</v>
      </c>
      <c r="I67">
        <f t="shared" ref="I67:I130" si="5">ROUND(E67/H67,2)</f>
        <v>61.04</v>
      </c>
      <c r="J67" t="s">
        <v>21</v>
      </c>
      <c r="K67" t="s">
        <v>22</v>
      </c>
      <c r="L67">
        <v>1296108000</v>
      </c>
      <c r="M67">
        <v>1296712800</v>
      </c>
      <c r="N67" s="19">
        <f t="shared" ref="N67:N130" si="6">(((L67/60)/60)/24)+DATE(1970,1,1)</f>
        <v>40570.25</v>
      </c>
      <c r="O67" s="19">
        <f t="shared" ref="O67:O130" si="7">(((M67/60)/60)/24)+DATE(1970,1,1)</f>
        <v>40577.25</v>
      </c>
      <c r="P67" t="b">
        <v>0</v>
      </c>
      <c r="Q67" t="b">
        <v>0</v>
      </c>
      <c r="R67" t="s">
        <v>33</v>
      </c>
      <c r="S67" t="s">
        <v>2037</v>
      </c>
      <c r="T67" t="s">
        <v>2038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>
        <f t="shared" si="4"/>
        <v>45</v>
      </c>
      <c r="G68" s="4" t="s">
        <v>14</v>
      </c>
      <c r="H68">
        <v>12</v>
      </c>
      <c r="I68">
        <f t="shared" si="5"/>
        <v>108.92</v>
      </c>
      <c r="J68" t="s">
        <v>21</v>
      </c>
      <c r="K68" t="s">
        <v>22</v>
      </c>
      <c r="L68">
        <v>1428469200</v>
      </c>
      <c r="M68">
        <v>1428901200</v>
      </c>
      <c r="N68" s="19">
        <f t="shared" si="6"/>
        <v>42102.208333333328</v>
      </c>
      <c r="O68" s="19">
        <f t="shared" si="7"/>
        <v>42107.208333333328</v>
      </c>
      <c r="P68" t="b">
        <v>0</v>
      </c>
      <c r="Q68" t="b">
        <v>1</v>
      </c>
      <c r="R68" t="s">
        <v>33</v>
      </c>
      <c r="S68" t="s">
        <v>2037</v>
      </c>
      <c r="T68" t="s">
        <v>2038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>
        <f t="shared" si="4"/>
        <v>162</v>
      </c>
      <c r="G69" s="5" t="s">
        <v>20</v>
      </c>
      <c r="H69">
        <v>4065</v>
      </c>
      <c r="I69">
        <f t="shared" si="5"/>
        <v>29</v>
      </c>
      <c r="J69" t="s">
        <v>40</v>
      </c>
      <c r="K69" t="s">
        <v>41</v>
      </c>
      <c r="L69">
        <v>1264399200</v>
      </c>
      <c r="M69">
        <v>1264831200</v>
      </c>
      <c r="N69" s="19">
        <f t="shared" si="6"/>
        <v>40203.25</v>
      </c>
      <c r="O69" s="19">
        <f t="shared" si="7"/>
        <v>40208.25</v>
      </c>
      <c r="P69" t="b">
        <v>0</v>
      </c>
      <c r="Q69" t="b">
        <v>1</v>
      </c>
      <c r="R69" t="s">
        <v>65</v>
      </c>
      <c r="S69" t="s">
        <v>2035</v>
      </c>
      <c r="T69" t="s">
        <v>2044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>
        <f t="shared" si="4"/>
        <v>255</v>
      </c>
      <c r="G70" s="5" t="s">
        <v>20</v>
      </c>
      <c r="H70">
        <v>246</v>
      </c>
      <c r="I70">
        <f t="shared" si="5"/>
        <v>58.98</v>
      </c>
      <c r="J70" t="s">
        <v>107</v>
      </c>
      <c r="K70" t="s">
        <v>108</v>
      </c>
      <c r="L70">
        <v>1501131600</v>
      </c>
      <c r="M70">
        <v>1505192400</v>
      </c>
      <c r="N70" s="19">
        <f t="shared" si="6"/>
        <v>42943.208333333328</v>
      </c>
      <c r="O70" s="19">
        <f t="shared" si="7"/>
        <v>42990.208333333328</v>
      </c>
      <c r="P70" t="b">
        <v>0</v>
      </c>
      <c r="Q70" t="b">
        <v>1</v>
      </c>
      <c r="R70" t="s">
        <v>33</v>
      </c>
      <c r="S70" t="s">
        <v>2037</v>
      </c>
      <c r="T70" t="s">
        <v>2038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>
        <f t="shared" si="4"/>
        <v>24</v>
      </c>
      <c r="G71" s="7" t="s">
        <v>74</v>
      </c>
      <c r="H71">
        <v>17</v>
      </c>
      <c r="I71">
        <f t="shared" si="5"/>
        <v>111.82</v>
      </c>
      <c r="J71" t="s">
        <v>21</v>
      </c>
      <c r="K71" t="s">
        <v>22</v>
      </c>
      <c r="L71">
        <v>1292738400</v>
      </c>
      <c r="M71">
        <v>1295676000</v>
      </c>
      <c r="N71" s="19">
        <f t="shared" si="6"/>
        <v>40531.25</v>
      </c>
      <c r="O71" s="19">
        <f t="shared" si="7"/>
        <v>40565.25</v>
      </c>
      <c r="P71" t="b">
        <v>0</v>
      </c>
      <c r="Q71" t="b">
        <v>0</v>
      </c>
      <c r="R71" t="s">
        <v>33</v>
      </c>
      <c r="S71" t="s">
        <v>2037</v>
      </c>
      <c r="T71" t="s">
        <v>2038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>
        <f t="shared" si="4"/>
        <v>124</v>
      </c>
      <c r="G72" s="5" t="s">
        <v>20</v>
      </c>
      <c r="H72">
        <v>2475</v>
      </c>
      <c r="I72">
        <f t="shared" si="5"/>
        <v>64</v>
      </c>
      <c r="J72" t="s">
        <v>107</v>
      </c>
      <c r="K72" t="s">
        <v>108</v>
      </c>
      <c r="L72">
        <v>1288674000</v>
      </c>
      <c r="M72">
        <v>1292911200</v>
      </c>
      <c r="N72" s="19">
        <f t="shared" si="6"/>
        <v>40484.208333333336</v>
      </c>
      <c r="O72" s="19">
        <f t="shared" si="7"/>
        <v>40533.25</v>
      </c>
      <c r="P72" t="b">
        <v>0</v>
      </c>
      <c r="Q72" t="b">
        <v>1</v>
      </c>
      <c r="R72" t="s">
        <v>33</v>
      </c>
      <c r="S72" t="s">
        <v>2037</v>
      </c>
      <c r="T72" t="s">
        <v>2038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>
        <f t="shared" si="4"/>
        <v>108</v>
      </c>
      <c r="G73" s="5" t="s">
        <v>20</v>
      </c>
      <c r="H73">
        <v>76</v>
      </c>
      <c r="I73">
        <f t="shared" si="5"/>
        <v>85.32</v>
      </c>
      <c r="J73" t="s">
        <v>21</v>
      </c>
      <c r="K73" t="s">
        <v>22</v>
      </c>
      <c r="L73">
        <v>1575093600</v>
      </c>
      <c r="M73">
        <v>1575439200</v>
      </c>
      <c r="N73" s="19">
        <f t="shared" si="6"/>
        <v>43799.25</v>
      </c>
      <c r="O73" s="19">
        <f t="shared" si="7"/>
        <v>43803.25</v>
      </c>
      <c r="P73" t="b">
        <v>0</v>
      </c>
      <c r="Q73" t="b">
        <v>0</v>
      </c>
      <c r="R73" t="s">
        <v>33</v>
      </c>
      <c r="S73" t="s">
        <v>2037</v>
      </c>
      <c r="T73" t="s">
        <v>2038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>
        <f t="shared" si="4"/>
        <v>670</v>
      </c>
      <c r="G74" s="5" t="s">
        <v>20</v>
      </c>
      <c r="H74">
        <v>54</v>
      </c>
      <c r="I74">
        <f t="shared" si="5"/>
        <v>74.48</v>
      </c>
      <c r="J74" t="s">
        <v>21</v>
      </c>
      <c r="K74" t="s">
        <v>22</v>
      </c>
      <c r="L74">
        <v>1435726800</v>
      </c>
      <c r="M74">
        <v>1438837200</v>
      </c>
      <c r="N74" s="19">
        <f t="shared" si="6"/>
        <v>42186.208333333328</v>
      </c>
      <c r="O74" s="19">
        <f t="shared" si="7"/>
        <v>42222.208333333328</v>
      </c>
      <c r="P74" t="b">
        <v>0</v>
      </c>
      <c r="Q74" t="b">
        <v>0</v>
      </c>
      <c r="R74" t="s">
        <v>71</v>
      </c>
      <c r="S74" t="s">
        <v>2039</v>
      </c>
      <c r="T74" t="s">
        <v>2047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>
        <f t="shared" si="4"/>
        <v>661</v>
      </c>
      <c r="G75" s="5" t="s">
        <v>20</v>
      </c>
      <c r="H75">
        <v>88</v>
      </c>
      <c r="I75">
        <f t="shared" si="5"/>
        <v>105.15</v>
      </c>
      <c r="J75" t="s">
        <v>21</v>
      </c>
      <c r="K75" t="s">
        <v>22</v>
      </c>
      <c r="L75">
        <v>1480226400</v>
      </c>
      <c r="M75">
        <v>1480485600</v>
      </c>
      <c r="N75" s="19">
        <f t="shared" si="6"/>
        <v>42701.25</v>
      </c>
      <c r="O75" s="19">
        <f t="shared" si="7"/>
        <v>42704.25</v>
      </c>
      <c r="P75" t="b">
        <v>0</v>
      </c>
      <c r="Q75" t="b">
        <v>0</v>
      </c>
      <c r="R75" t="s">
        <v>159</v>
      </c>
      <c r="S75" t="s">
        <v>2033</v>
      </c>
      <c r="T75" t="s">
        <v>2056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>
        <f t="shared" si="4"/>
        <v>122</v>
      </c>
      <c r="G76" s="5" t="s">
        <v>20</v>
      </c>
      <c r="H76">
        <v>85</v>
      </c>
      <c r="I76">
        <f t="shared" si="5"/>
        <v>56.19</v>
      </c>
      <c r="J76" t="s">
        <v>40</v>
      </c>
      <c r="K76" t="s">
        <v>41</v>
      </c>
      <c r="L76">
        <v>1459054800</v>
      </c>
      <c r="M76">
        <v>1459141200</v>
      </c>
      <c r="N76" s="19">
        <f t="shared" si="6"/>
        <v>42456.208333333328</v>
      </c>
      <c r="O76" s="19">
        <f t="shared" si="7"/>
        <v>42457.208333333328</v>
      </c>
      <c r="P76" t="b">
        <v>0</v>
      </c>
      <c r="Q76" t="b">
        <v>0</v>
      </c>
      <c r="R76" t="s">
        <v>148</v>
      </c>
      <c r="S76" t="s">
        <v>2033</v>
      </c>
      <c r="T76" t="s">
        <v>2055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>
        <f t="shared" si="4"/>
        <v>151</v>
      </c>
      <c r="G77" s="5" t="s">
        <v>20</v>
      </c>
      <c r="H77">
        <v>170</v>
      </c>
      <c r="I77">
        <f t="shared" si="5"/>
        <v>85.92</v>
      </c>
      <c r="J77" t="s">
        <v>21</v>
      </c>
      <c r="K77" t="s">
        <v>22</v>
      </c>
      <c r="L77">
        <v>1531630800</v>
      </c>
      <c r="M77">
        <v>1532322000</v>
      </c>
      <c r="N77" s="19">
        <f t="shared" si="6"/>
        <v>43296.208333333328</v>
      </c>
      <c r="O77" s="19">
        <f t="shared" si="7"/>
        <v>43304.208333333328</v>
      </c>
      <c r="P77" t="b">
        <v>0</v>
      </c>
      <c r="Q77" t="b">
        <v>0</v>
      </c>
      <c r="R77" t="s">
        <v>122</v>
      </c>
      <c r="S77" t="s">
        <v>2052</v>
      </c>
      <c r="T77" t="s">
        <v>2053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>
        <f t="shared" si="4"/>
        <v>78</v>
      </c>
      <c r="G78" s="4" t="s">
        <v>14</v>
      </c>
      <c r="H78">
        <v>1684</v>
      </c>
      <c r="I78">
        <f t="shared" si="5"/>
        <v>57</v>
      </c>
      <c r="J78" t="s">
        <v>21</v>
      </c>
      <c r="K78" t="s">
        <v>22</v>
      </c>
      <c r="L78">
        <v>1421992800</v>
      </c>
      <c r="M78">
        <v>1426222800</v>
      </c>
      <c r="N78" s="19">
        <f t="shared" si="6"/>
        <v>42027.25</v>
      </c>
      <c r="O78" s="19">
        <f t="shared" si="7"/>
        <v>42076.208333333328</v>
      </c>
      <c r="P78" t="b">
        <v>1</v>
      </c>
      <c r="Q78" t="b">
        <v>1</v>
      </c>
      <c r="R78" t="s">
        <v>33</v>
      </c>
      <c r="S78" t="s">
        <v>2037</v>
      </c>
      <c r="T78" t="s">
        <v>2038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>
        <f t="shared" si="4"/>
        <v>47</v>
      </c>
      <c r="G79" s="4" t="s">
        <v>14</v>
      </c>
      <c r="H79">
        <v>56</v>
      </c>
      <c r="I79">
        <f t="shared" si="5"/>
        <v>79.64</v>
      </c>
      <c r="J79" t="s">
        <v>21</v>
      </c>
      <c r="K79" t="s">
        <v>22</v>
      </c>
      <c r="L79">
        <v>1285563600</v>
      </c>
      <c r="M79">
        <v>1286773200</v>
      </c>
      <c r="N79" s="19">
        <f t="shared" si="6"/>
        <v>40448.208333333336</v>
      </c>
      <c r="O79" s="19">
        <f t="shared" si="7"/>
        <v>40462.208333333336</v>
      </c>
      <c r="P79" t="b">
        <v>0</v>
      </c>
      <c r="Q79" t="b">
        <v>1</v>
      </c>
      <c r="R79" t="s">
        <v>71</v>
      </c>
      <c r="S79" t="s">
        <v>2039</v>
      </c>
      <c r="T79" t="s">
        <v>2047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>
        <f t="shared" si="4"/>
        <v>301</v>
      </c>
      <c r="G80" s="5" t="s">
        <v>20</v>
      </c>
      <c r="H80">
        <v>330</v>
      </c>
      <c r="I80">
        <f t="shared" si="5"/>
        <v>41.02</v>
      </c>
      <c r="J80" t="s">
        <v>21</v>
      </c>
      <c r="K80" t="s">
        <v>22</v>
      </c>
      <c r="L80">
        <v>1523854800</v>
      </c>
      <c r="M80">
        <v>1523941200</v>
      </c>
      <c r="N80" s="19">
        <f t="shared" si="6"/>
        <v>43206.208333333328</v>
      </c>
      <c r="O80" s="19">
        <f t="shared" si="7"/>
        <v>43207.208333333328</v>
      </c>
      <c r="P80" t="b">
        <v>0</v>
      </c>
      <c r="Q80" t="b">
        <v>0</v>
      </c>
      <c r="R80" t="s">
        <v>206</v>
      </c>
      <c r="S80" t="s">
        <v>2045</v>
      </c>
      <c r="T80" t="s">
        <v>2057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>
        <f t="shared" si="4"/>
        <v>70</v>
      </c>
      <c r="G81" s="4" t="s">
        <v>14</v>
      </c>
      <c r="H81">
        <v>838</v>
      </c>
      <c r="I81">
        <f t="shared" si="5"/>
        <v>48</v>
      </c>
      <c r="J81" t="s">
        <v>21</v>
      </c>
      <c r="K81" t="s">
        <v>22</v>
      </c>
      <c r="L81">
        <v>1529125200</v>
      </c>
      <c r="M81">
        <v>1529557200</v>
      </c>
      <c r="N81" s="19">
        <f t="shared" si="6"/>
        <v>43267.208333333328</v>
      </c>
      <c r="O81" s="19">
        <f t="shared" si="7"/>
        <v>43272.208333333328</v>
      </c>
      <c r="P81" t="b">
        <v>0</v>
      </c>
      <c r="Q81" t="b">
        <v>0</v>
      </c>
      <c r="R81" t="s">
        <v>33</v>
      </c>
      <c r="S81" t="s">
        <v>2037</v>
      </c>
      <c r="T81" t="s">
        <v>2038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>
        <f t="shared" si="4"/>
        <v>637</v>
      </c>
      <c r="G82" s="5" t="s">
        <v>20</v>
      </c>
      <c r="H82">
        <v>127</v>
      </c>
      <c r="I82">
        <f t="shared" si="5"/>
        <v>55.21</v>
      </c>
      <c r="J82" t="s">
        <v>21</v>
      </c>
      <c r="K82" t="s">
        <v>22</v>
      </c>
      <c r="L82">
        <v>1503982800</v>
      </c>
      <c r="M82">
        <v>1506574800</v>
      </c>
      <c r="N82" s="19">
        <f t="shared" si="6"/>
        <v>42976.208333333328</v>
      </c>
      <c r="O82" s="19">
        <f t="shared" si="7"/>
        <v>43006.208333333328</v>
      </c>
      <c r="P82" t="b">
        <v>0</v>
      </c>
      <c r="Q82" t="b">
        <v>0</v>
      </c>
      <c r="R82" t="s">
        <v>89</v>
      </c>
      <c r="S82" t="s">
        <v>2048</v>
      </c>
      <c r="T82" t="s">
        <v>2049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>
        <f t="shared" si="4"/>
        <v>225</v>
      </c>
      <c r="G83" s="5" t="s">
        <v>20</v>
      </c>
      <c r="H83">
        <v>411</v>
      </c>
      <c r="I83">
        <f t="shared" si="5"/>
        <v>92.11</v>
      </c>
      <c r="J83" t="s">
        <v>21</v>
      </c>
      <c r="K83" t="s">
        <v>22</v>
      </c>
      <c r="L83">
        <v>1511416800</v>
      </c>
      <c r="M83">
        <v>1513576800</v>
      </c>
      <c r="N83" s="19">
        <f t="shared" si="6"/>
        <v>43062.25</v>
      </c>
      <c r="O83" s="19">
        <f t="shared" si="7"/>
        <v>43087.25</v>
      </c>
      <c r="P83" t="b">
        <v>0</v>
      </c>
      <c r="Q83" t="b">
        <v>0</v>
      </c>
      <c r="R83" t="s">
        <v>23</v>
      </c>
      <c r="S83" t="s">
        <v>2033</v>
      </c>
      <c r="T83" t="s">
        <v>2034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>
        <f t="shared" si="4"/>
        <v>1497</v>
      </c>
      <c r="G84" s="5" t="s">
        <v>20</v>
      </c>
      <c r="H84">
        <v>180</v>
      </c>
      <c r="I84">
        <f t="shared" si="5"/>
        <v>83.18</v>
      </c>
      <c r="J84" t="s">
        <v>40</v>
      </c>
      <c r="K84" t="s">
        <v>41</v>
      </c>
      <c r="L84">
        <v>1547704800</v>
      </c>
      <c r="M84">
        <v>1548309600</v>
      </c>
      <c r="N84" s="19">
        <f t="shared" si="6"/>
        <v>43482.25</v>
      </c>
      <c r="O84" s="19">
        <f t="shared" si="7"/>
        <v>43489.25</v>
      </c>
      <c r="P84" t="b">
        <v>0</v>
      </c>
      <c r="Q84" t="b">
        <v>1</v>
      </c>
      <c r="R84" t="s">
        <v>89</v>
      </c>
      <c r="S84" t="s">
        <v>2048</v>
      </c>
      <c r="T84" t="s">
        <v>2049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>
        <f t="shared" si="4"/>
        <v>38</v>
      </c>
      <c r="G85" s="4" t="s">
        <v>14</v>
      </c>
      <c r="H85">
        <v>1000</v>
      </c>
      <c r="I85">
        <f t="shared" si="5"/>
        <v>40</v>
      </c>
      <c r="J85" t="s">
        <v>21</v>
      </c>
      <c r="K85" t="s">
        <v>22</v>
      </c>
      <c r="L85">
        <v>1469682000</v>
      </c>
      <c r="M85">
        <v>1471582800</v>
      </c>
      <c r="N85" s="19">
        <f t="shared" si="6"/>
        <v>42579.208333333328</v>
      </c>
      <c r="O85" s="19">
        <f t="shared" si="7"/>
        <v>42601.208333333328</v>
      </c>
      <c r="P85" t="b">
        <v>0</v>
      </c>
      <c r="Q85" t="b">
        <v>0</v>
      </c>
      <c r="R85" t="s">
        <v>50</v>
      </c>
      <c r="S85" t="s">
        <v>2033</v>
      </c>
      <c r="T85" t="s">
        <v>2041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>
        <f t="shared" si="4"/>
        <v>132</v>
      </c>
      <c r="G86" s="5" t="s">
        <v>20</v>
      </c>
      <c r="H86">
        <v>374</v>
      </c>
      <c r="I86">
        <f t="shared" si="5"/>
        <v>111.13</v>
      </c>
      <c r="J86" t="s">
        <v>21</v>
      </c>
      <c r="K86" t="s">
        <v>22</v>
      </c>
      <c r="L86">
        <v>1343451600</v>
      </c>
      <c r="M86">
        <v>1344315600</v>
      </c>
      <c r="N86" s="19">
        <f t="shared" si="6"/>
        <v>41118.208333333336</v>
      </c>
      <c r="O86" s="19">
        <f t="shared" si="7"/>
        <v>41128.208333333336</v>
      </c>
      <c r="P86" t="b">
        <v>0</v>
      </c>
      <c r="Q86" t="b">
        <v>0</v>
      </c>
      <c r="R86" t="s">
        <v>65</v>
      </c>
      <c r="S86" t="s">
        <v>2035</v>
      </c>
      <c r="T86" t="s">
        <v>2044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>
        <f t="shared" si="4"/>
        <v>131</v>
      </c>
      <c r="G87" s="5" t="s">
        <v>20</v>
      </c>
      <c r="H87">
        <v>71</v>
      </c>
      <c r="I87">
        <f t="shared" si="5"/>
        <v>90.56</v>
      </c>
      <c r="J87" t="s">
        <v>26</v>
      </c>
      <c r="K87" t="s">
        <v>27</v>
      </c>
      <c r="L87">
        <v>1315717200</v>
      </c>
      <c r="M87">
        <v>1316408400</v>
      </c>
      <c r="N87" s="19">
        <f t="shared" si="6"/>
        <v>40797.208333333336</v>
      </c>
      <c r="O87" s="19">
        <f t="shared" si="7"/>
        <v>40805.208333333336</v>
      </c>
      <c r="P87" t="b">
        <v>0</v>
      </c>
      <c r="Q87" t="b">
        <v>0</v>
      </c>
      <c r="R87" t="s">
        <v>60</v>
      </c>
      <c r="S87" t="s">
        <v>2033</v>
      </c>
      <c r="T87" t="s">
        <v>2043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>
        <f t="shared" si="4"/>
        <v>168</v>
      </c>
      <c r="G88" s="5" t="s">
        <v>20</v>
      </c>
      <c r="H88">
        <v>203</v>
      </c>
      <c r="I88">
        <f t="shared" si="5"/>
        <v>61.11</v>
      </c>
      <c r="J88" t="s">
        <v>21</v>
      </c>
      <c r="K88" t="s">
        <v>22</v>
      </c>
      <c r="L88">
        <v>1430715600</v>
      </c>
      <c r="M88">
        <v>1431838800</v>
      </c>
      <c r="N88" s="19">
        <f t="shared" si="6"/>
        <v>42128.208333333328</v>
      </c>
      <c r="O88" s="19">
        <f t="shared" si="7"/>
        <v>42141.208333333328</v>
      </c>
      <c r="P88" t="b">
        <v>1</v>
      </c>
      <c r="Q88" t="b">
        <v>0</v>
      </c>
      <c r="R88" t="s">
        <v>33</v>
      </c>
      <c r="S88" t="s">
        <v>2037</v>
      </c>
      <c r="T88" t="s">
        <v>2038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>
        <f t="shared" si="4"/>
        <v>62</v>
      </c>
      <c r="G89" s="4" t="s">
        <v>14</v>
      </c>
      <c r="H89">
        <v>1482</v>
      </c>
      <c r="I89">
        <f t="shared" si="5"/>
        <v>83.02</v>
      </c>
      <c r="J89" t="s">
        <v>26</v>
      </c>
      <c r="K89" t="s">
        <v>27</v>
      </c>
      <c r="L89">
        <v>1299564000</v>
      </c>
      <c r="M89">
        <v>1300510800</v>
      </c>
      <c r="N89" s="19">
        <f t="shared" si="6"/>
        <v>40610.25</v>
      </c>
      <c r="O89" s="19">
        <f t="shared" si="7"/>
        <v>40621.208333333336</v>
      </c>
      <c r="P89" t="b">
        <v>0</v>
      </c>
      <c r="Q89" t="b">
        <v>1</v>
      </c>
      <c r="R89" t="s">
        <v>23</v>
      </c>
      <c r="S89" t="s">
        <v>2033</v>
      </c>
      <c r="T89" t="s">
        <v>2034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>
        <f t="shared" si="4"/>
        <v>261</v>
      </c>
      <c r="G90" s="5" t="s">
        <v>20</v>
      </c>
      <c r="H90">
        <v>113</v>
      </c>
      <c r="I90">
        <f t="shared" si="5"/>
        <v>110.76</v>
      </c>
      <c r="J90" t="s">
        <v>21</v>
      </c>
      <c r="K90" t="s">
        <v>22</v>
      </c>
      <c r="L90">
        <v>1429160400</v>
      </c>
      <c r="M90">
        <v>1431061200</v>
      </c>
      <c r="N90" s="19">
        <f t="shared" si="6"/>
        <v>42110.208333333328</v>
      </c>
      <c r="O90" s="19">
        <f t="shared" si="7"/>
        <v>42132.208333333328</v>
      </c>
      <c r="P90" t="b">
        <v>0</v>
      </c>
      <c r="Q90" t="b">
        <v>0</v>
      </c>
      <c r="R90" t="s">
        <v>206</v>
      </c>
      <c r="S90" t="s">
        <v>2045</v>
      </c>
      <c r="T90" t="s">
        <v>2057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>
        <f t="shared" si="4"/>
        <v>253</v>
      </c>
      <c r="G91" s="5" t="s">
        <v>20</v>
      </c>
      <c r="H91">
        <v>96</v>
      </c>
      <c r="I91">
        <f t="shared" si="5"/>
        <v>89.46</v>
      </c>
      <c r="J91" t="s">
        <v>21</v>
      </c>
      <c r="K91" t="s">
        <v>22</v>
      </c>
      <c r="L91">
        <v>1271307600</v>
      </c>
      <c r="M91">
        <v>1271480400</v>
      </c>
      <c r="N91" s="19">
        <f t="shared" si="6"/>
        <v>40283.208333333336</v>
      </c>
      <c r="O91" s="19">
        <f t="shared" si="7"/>
        <v>40285.208333333336</v>
      </c>
      <c r="P91" t="b">
        <v>0</v>
      </c>
      <c r="Q91" t="b">
        <v>0</v>
      </c>
      <c r="R91" t="s">
        <v>33</v>
      </c>
      <c r="S91" t="s">
        <v>2037</v>
      </c>
      <c r="T91" t="s">
        <v>2038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>
        <f t="shared" si="4"/>
        <v>79</v>
      </c>
      <c r="G92" s="4" t="s">
        <v>14</v>
      </c>
      <c r="H92">
        <v>106</v>
      </c>
      <c r="I92">
        <f t="shared" si="5"/>
        <v>57.85</v>
      </c>
      <c r="J92" t="s">
        <v>21</v>
      </c>
      <c r="K92" t="s">
        <v>22</v>
      </c>
      <c r="L92">
        <v>1456380000</v>
      </c>
      <c r="M92">
        <v>1456380000</v>
      </c>
      <c r="N92" s="19">
        <f t="shared" si="6"/>
        <v>42425.25</v>
      </c>
      <c r="O92" s="19">
        <f t="shared" si="7"/>
        <v>42425.25</v>
      </c>
      <c r="P92" t="b">
        <v>0</v>
      </c>
      <c r="Q92" t="b">
        <v>1</v>
      </c>
      <c r="R92" t="s">
        <v>33</v>
      </c>
      <c r="S92" t="s">
        <v>2037</v>
      </c>
      <c r="T92" t="s">
        <v>2038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>
        <f t="shared" si="4"/>
        <v>48</v>
      </c>
      <c r="G93" s="4" t="s">
        <v>14</v>
      </c>
      <c r="H93">
        <v>679</v>
      </c>
      <c r="I93">
        <f t="shared" si="5"/>
        <v>110</v>
      </c>
      <c r="J93" t="s">
        <v>107</v>
      </c>
      <c r="K93" t="s">
        <v>108</v>
      </c>
      <c r="L93">
        <v>1470459600</v>
      </c>
      <c r="M93">
        <v>1472878800</v>
      </c>
      <c r="N93" s="19">
        <f t="shared" si="6"/>
        <v>42588.208333333328</v>
      </c>
      <c r="O93" s="19">
        <f t="shared" si="7"/>
        <v>42616.208333333328</v>
      </c>
      <c r="P93" t="b">
        <v>0</v>
      </c>
      <c r="Q93" t="b">
        <v>0</v>
      </c>
      <c r="R93" t="s">
        <v>206</v>
      </c>
      <c r="S93" t="s">
        <v>2045</v>
      </c>
      <c r="T93" t="s">
        <v>2057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>
        <f t="shared" si="4"/>
        <v>259</v>
      </c>
      <c r="G94" s="5" t="s">
        <v>20</v>
      </c>
      <c r="H94">
        <v>498</v>
      </c>
      <c r="I94">
        <f t="shared" si="5"/>
        <v>103.97</v>
      </c>
      <c r="J94" t="s">
        <v>98</v>
      </c>
      <c r="K94" t="s">
        <v>99</v>
      </c>
      <c r="L94">
        <v>1277269200</v>
      </c>
      <c r="M94">
        <v>1277355600</v>
      </c>
      <c r="N94" s="19">
        <f t="shared" si="6"/>
        <v>40352.208333333336</v>
      </c>
      <c r="O94" s="19">
        <f t="shared" si="7"/>
        <v>40353.208333333336</v>
      </c>
      <c r="P94" t="b">
        <v>0</v>
      </c>
      <c r="Q94" t="b">
        <v>1</v>
      </c>
      <c r="R94" t="s">
        <v>89</v>
      </c>
      <c r="S94" t="s">
        <v>2048</v>
      </c>
      <c r="T94" t="s">
        <v>2049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>
        <f t="shared" si="4"/>
        <v>61</v>
      </c>
      <c r="G95" s="7" t="s">
        <v>74</v>
      </c>
      <c r="H95">
        <v>610</v>
      </c>
      <c r="I95">
        <f t="shared" si="5"/>
        <v>108</v>
      </c>
      <c r="J95" t="s">
        <v>21</v>
      </c>
      <c r="K95" t="s">
        <v>22</v>
      </c>
      <c r="L95">
        <v>1350709200</v>
      </c>
      <c r="M95">
        <v>1351054800</v>
      </c>
      <c r="N95" s="19">
        <f t="shared" si="6"/>
        <v>41202.208333333336</v>
      </c>
      <c r="O95" s="19">
        <f t="shared" si="7"/>
        <v>41206.208333333336</v>
      </c>
      <c r="P95" t="b">
        <v>0</v>
      </c>
      <c r="Q95" t="b">
        <v>1</v>
      </c>
      <c r="R95" t="s">
        <v>33</v>
      </c>
      <c r="S95" t="s">
        <v>2037</v>
      </c>
      <c r="T95" t="s">
        <v>2038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>
        <f t="shared" si="4"/>
        <v>304</v>
      </c>
      <c r="G96" s="5" t="s">
        <v>20</v>
      </c>
      <c r="H96">
        <v>180</v>
      </c>
      <c r="I96">
        <f t="shared" si="5"/>
        <v>48.93</v>
      </c>
      <c r="J96" t="s">
        <v>40</v>
      </c>
      <c r="K96" t="s">
        <v>41</v>
      </c>
      <c r="L96">
        <v>1554613200</v>
      </c>
      <c r="M96">
        <v>1555563600</v>
      </c>
      <c r="N96" s="19">
        <f t="shared" si="6"/>
        <v>43562.208333333328</v>
      </c>
      <c r="O96" s="19">
        <f t="shared" si="7"/>
        <v>43573.208333333328</v>
      </c>
      <c r="P96" t="b">
        <v>0</v>
      </c>
      <c r="Q96" t="b">
        <v>0</v>
      </c>
      <c r="R96" t="s">
        <v>28</v>
      </c>
      <c r="S96" t="s">
        <v>2035</v>
      </c>
      <c r="T96" t="s">
        <v>2036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>
        <f t="shared" si="4"/>
        <v>113</v>
      </c>
      <c r="G97" s="5" t="s">
        <v>20</v>
      </c>
      <c r="H97">
        <v>27</v>
      </c>
      <c r="I97">
        <f t="shared" si="5"/>
        <v>37.67</v>
      </c>
      <c r="J97" t="s">
        <v>21</v>
      </c>
      <c r="K97" t="s">
        <v>22</v>
      </c>
      <c r="L97">
        <v>1571029200</v>
      </c>
      <c r="M97">
        <v>1571634000</v>
      </c>
      <c r="N97" s="19">
        <f t="shared" si="6"/>
        <v>43752.208333333328</v>
      </c>
      <c r="O97" s="19">
        <f t="shared" si="7"/>
        <v>43759.208333333328</v>
      </c>
      <c r="P97" t="b">
        <v>0</v>
      </c>
      <c r="Q97" t="b">
        <v>0</v>
      </c>
      <c r="R97" t="s">
        <v>42</v>
      </c>
      <c r="S97" t="s">
        <v>2039</v>
      </c>
      <c r="T97" t="s">
        <v>2040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>
        <f t="shared" si="4"/>
        <v>217</v>
      </c>
      <c r="G98" s="5" t="s">
        <v>20</v>
      </c>
      <c r="H98">
        <v>2331</v>
      </c>
      <c r="I98">
        <f t="shared" si="5"/>
        <v>65</v>
      </c>
      <c r="J98" t="s">
        <v>21</v>
      </c>
      <c r="K98" t="s">
        <v>22</v>
      </c>
      <c r="L98">
        <v>1299736800</v>
      </c>
      <c r="M98">
        <v>1300856400</v>
      </c>
      <c r="N98" s="19">
        <f t="shared" si="6"/>
        <v>40612.25</v>
      </c>
      <c r="O98" s="19">
        <f t="shared" si="7"/>
        <v>40625.208333333336</v>
      </c>
      <c r="P98" t="b">
        <v>0</v>
      </c>
      <c r="Q98" t="b">
        <v>0</v>
      </c>
      <c r="R98" t="s">
        <v>33</v>
      </c>
      <c r="S98" t="s">
        <v>2037</v>
      </c>
      <c r="T98" t="s">
        <v>2038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>
        <f t="shared" si="4"/>
        <v>927</v>
      </c>
      <c r="G99" s="5" t="s">
        <v>20</v>
      </c>
      <c r="H99">
        <v>113</v>
      </c>
      <c r="I99">
        <f t="shared" si="5"/>
        <v>106.61</v>
      </c>
      <c r="J99" t="s">
        <v>21</v>
      </c>
      <c r="K99" t="s">
        <v>22</v>
      </c>
      <c r="L99">
        <v>1435208400</v>
      </c>
      <c r="M99">
        <v>1439874000</v>
      </c>
      <c r="N99" s="19">
        <f t="shared" si="6"/>
        <v>42180.208333333328</v>
      </c>
      <c r="O99" s="19">
        <f t="shared" si="7"/>
        <v>42234.208333333328</v>
      </c>
      <c r="P99" t="b">
        <v>0</v>
      </c>
      <c r="Q99" t="b">
        <v>0</v>
      </c>
      <c r="R99" t="s">
        <v>17</v>
      </c>
      <c r="S99" t="s">
        <v>2031</v>
      </c>
      <c r="T99" t="s">
        <v>2032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>
        <f t="shared" si="4"/>
        <v>34</v>
      </c>
      <c r="G100" s="4" t="s">
        <v>14</v>
      </c>
      <c r="H100">
        <v>1220</v>
      </c>
      <c r="I100">
        <f t="shared" si="5"/>
        <v>27.01</v>
      </c>
      <c r="J100" t="s">
        <v>26</v>
      </c>
      <c r="K100" t="s">
        <v>27</v>
      </c>
      <c r="L100">
        <v>1437973200</v>
      </c>
      <c r="M100">
        <v>1438318800</v>
      </c>
      <c r="N100" s="19">
        <f t="shared" si="6"/>
        <v>42212.208333333328</v>
      </c>
      <c r="O100" s="19">
        <f t="shared" si="7"/>
        <v>42216.208333333328</v>
      </c>
      <c r="P100" t="b">
        <v>0</v>
      </c>
      <c r="Q100" t="b">
        <v>0</v>
      </c>
      <c r="R100" t="s">
        <v>89</v>
      </c>
      <c r="S100" t="s">
        <v>2048</v>
      </c>
      <c r="T100" t="s">
        <v>2049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>
        <f t="shared" si="4"/>
        <v>197</v>
      </c>
      <c r="G101" s="5" t="s">
        <v>20</v>
      </c>
      <c r="H101">
        <v>164</v>
      </c>
      <c r="I101">
        <f t="shared" si="5"/>
        <v>91.16</v>
      </c>
      <c r="J101" t="s">
        <v>21</v>
      </c>
      <c r="K101" t="s">
        <v>22</v>
      </c>
      <c r="L101">
        <v>1416895200</v>
      </c>
      <c r="M101">
        <v>1419400800</v>
      </c>
      <c r="N101" s="19">
        <f t="shared" si="6"/>
        <v>41968.25</v>
      </c>
      <c r="O101" s="19">
        <f t="shared" si="7"/>
        <v>41997.25</v>
      </c>
      <c r="P101" t="b">
        <v>0</v>
      </c>
      <c r="Q101" t="b">
        <v>0</v>
      </c>
      <c r="R101" t="s">
        <v>33</v>
      </c>
      <c r="S101" t="s">
        <v>2037</v>
      </c>
      <c r="T101" t="s">
        <v>2038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>
        <f t="shared" si="4"/>
        <v>1</v>
      </c>
      <c r="G102" s="4" t="s">
        <v>14</v>
      </c>
      <c r="H102">
        <v>1</v>
      </c>
      <c r="I102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19">
        <f t="shared" si="6"/>
        <v>40835.208333333336</v>
      </c>
      <c r="O102" s="19">
        <f t="shared" si="7"/>
        <v>40853.208333333336</v>
      </c>
      <c r="P102" t="b">
        <v>0</v>
      </c>
      <c r="Q102" t="b">
        <v>0</v>
      </c>
      <c r="R102" t="s">
        <v>33</v>
      </c>
      <c r="S102" t="s">
        <v>2037</v>
      </c>
      <c r="T102" t="s">
        <v>2038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>
        <f t="shared" si="4"/>
        <v>1021</v>
      </c>
      <c r="G103" s="5" t="s">
        <v>20</v>
      </c>
      <c r="H103">
        <v>164</v>
      </c>
      <c r="I103">
        <f t="shared" si="5"/>
        <v>56.05</v>
      </c>
      <c r="J103" t="s">
        <v>21</v>
      </c>
      <c r="K103" t="s">
        <v>22</v>
      </c>
      <c r="L103">
        <v>1424498400</v>
      </c>
      <c r="M103">
        <v>1425103200</v>
      </c>
      <c r="N103" s="19">
        <f t="shared" si="6"/>
        <v>42056.25</v>
      </c>
      <c r="O103" s="19">
        <f t="shared" si="7"/>
        <v>42063.25</v>
      </c>
      <c r="P103" t="b">
        <v>0</v>
      </c>
      <c r="Q103" t="b">
        <v>1</v>
      </c>
      <c r="R103" t="s">
        <v>50</v>
      </c>
      <c r="S103" t="s">
        <v>2033</v>
      </c>
      <c r="T103" t="s">
        <v>2041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>
        <f t="shared" si="4"/>
        <v>282</v>
      </c>
      <c r="G104" s="5" t="s">
        <v>20</v>
      </c>
      <c r="H104">
        <v>336</v>
      </c>
      <c r="I104">
        <f t="shared" si="5"/>
        <v>31.02</v>
      </c>
      <c r="J104" t="s">
        <v>21</v>
      </c>
      <c r="K104" t="s">
        <v>22</v>
      </c>
      <c r="L104">
        <v>1526274000</v>
      </c>
      <c r="M104">
        <v>1526878800</v>
      </c>
      <c r="N104" s="19">
        <f t="shared" si="6"/>
        <v>43234.208333333328</v>
      </c>
      <c r="O104" s="19">
        <f t="shared" si="7"/>
        <v>43241.208333333328</v>
      </c>
      <c r="P104" t="b">
        <v>0</v>
      </c>
      <c r="Q104" t="b">
        <v>1</v>
      </c>
      <c r="R104" t="s">
        <v>65</v>
      </c>
      <c r="S104" t="s">
        <v>2035</v>
      </c>
      <c r="T104" t="s">
        <v>2044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>
        <f t="shared" si="4"/>
        <v>25</v>
      </c>
      <c r="G105" s="4" t="s">
        <v>14</v>
      </c>
      <c r="H105">
        <v>37</v>
      </c>
      <c r="I105">
        <f t="shared" si="5"/>
        <v>66.510000000000005</v>
      </c>
      <c r="J105" t="s">
        <v>107</v>
      </c>
      <c r="K105" t="s">
        <v>108</v>
      </c>
      <c r="L105">
        <v>1287896400</v>
      </c>
      <c r="M105">
        <v>1288674000</v>
      </c>
      <c r="N105" s="19">
        <f t="shared" si="6"/>
        <v>40475.208333333336</v>
      </c>
      <c r="O105" s="19">
        <f t="shared" si="7"/>
        <v>40484.208333333336</v>
      </c>
      <c r="P105" t="b">
        <v>0</v>
      </c>
      <c r="Q105" t="b">
        <v>0</v>
      </c>
      <c r="R105" t="s">
        <v>50</v>
      </c>
      <c r="S105" t="s">
        <v>2033</v>
      </c>
      <c r="T105" t="s">
        <v>2041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>
        <f t="shared" si="4"/>
        <v>143</v>
      </c>
      <c r="G106" s="5" t="s">
        <v>20</v>
      </c>
      <c r="H106">
        <v>1917</v>
      </c>
      <c r="I106">
        <f t="shared" si="5"/>
        <v>89.01</v>
      </c>
      <c r="J106" t="s">
        <v>21</v>
      </c>
      <c r="K106" t="s">
        <v>22</v>
      </c>
      <c r="L106">
        <v>1495515600</v>
      </c>
      <c r="M106">
        <v>1495602000</v>
      </c>
      <c r="N106" s="19">
        <f t="shared" si="6"/>
        <v>42878.208333333328</v>
      </c>
      <c r="O106" s="19">
        <f t="shared" si="7"/>
        <v>42879.208333333328</v>
      </c>
      <c r="P106" t="b">
        <v>0</v>
      </c>
      <c r="Q106" t="b">
        <v>0</v>
      </c>
      <c r="R106" t="s">
        <v>60</v>
      </c>
      <c r="S106" t="s">
        <v>2033</v>
      </c>
      <c r="T106" t="s">
        <v>2043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>
        <f t="shared" si="4"/>
        <v>145</v>
      </c>
      <c r="G107" s="5" t="s">
        <v>20</v>
      </c>
      <c r="H107">
        <v>95</v>
      </c>
      <c r="I107">
        <f t="shared" si="5"/>
        <v>103.46</v>
      </c>
      <c r="J107" t="s">
        <v>21</v>
      </c>
      <c r="K107" t="s">
        <v>22</v>
      </c>
      <c r="L107">
        <v>1364878800</v>
      </c>
      <c r="M107">
        <v>1366434000</v>
      </c>
      <c r="N107" s="19">
        <f t="shared" si="6"/>
        <v>41366.208333333336</v>
      </c>
      <c r="O107" s="19">
        <f t="shared" si="7"/>
        <v>41384.208333333336</v>
      </c>
      <c r="P107" t="b">
        <v>0</v>
      </c>
      <c r="Q107" t="b">
        <v>0</v>
      </c>
      <c r="R107" t="s">
        <v>28</v>
      </c>
      <c r="S107" t="s">
        <v>2035</v>
      </c>
      <c r="T107" t="s">
        <v>2036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>
        <f t="shared" si="4"/>
        <v>359</v>
      </c>
      <c r="G108" s="5" t="s">
        <v>20</v>
      </c>
      <c r="H108">
        <v>147</v>
      </c>
      <c r="I108">
        <f t="shared" si="5"/>
        <v>95.28</v>
      </c>
      <c r="J108" t="s">
        <v>21</v>
      </c>
      <c r="K108" t="s">
        <v>22</v>
      </c>
      <c r="L108">
        <v>1567918800</v>
      </c>
      <c r="M108">
        <v>1568350800</v>
      </c>
      <c r="N108" s="19">
        <f t="shared" si="6"/>
        <v>43716.208333333328</v>
      </c>
      <c r="O108" s="19">
        <f t="shared" si="7"/>
        <v>43721.208333333328</v>
      </c>
      <c r="P108" t="b">
        <v>0</v>
      </c>
      <c r="Q108" t="b">
        <v>0</v>
      </c>
      <c r="R108" t="s">
        <v>33</v>
      </c>
      <c r="S108" t="s">
        <v>2037</v>
      </c>
      <c r="T108" t="s">
        <v>2038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>
        <f t="shared" si="4"/>
        <v>186</v>
      </c>
      <c r="G109" s="5" t="s">
        <v>20</v>
      </c>
      <c r="H109">
        <v>86</v>
      </c>
      <c r="I109">
        <f t="shared" si="5"/>
        <v>75.900000000000006</v>
      </c>
      <c r="J109" t="s">
        <v>21</v>
      </c>
      <c r="K109" t="s">
        <v>22</v>
      </c>
      <c r="L109">
        <v>1524459600</v>
      </c>
      <c r="M109">
        <v>1525928400</v>
      </c>
      <c r="N109" s="19">
        <f t="shared" si="6"/>
        <v>43213.208333333328</v>
      </c>
      <c r="O109" s="19">
        <f t="shared" si="7"/>
        <v>43230.208333333328</v>
      </c>
      <c r="P109" t="b">
        <v>0</v>
      </c>
      <c r="Q109" t="b">
        <v>1</v>
      </c>
      <c r="R109" t="s">
        <v>33</v>
      </c>
      <c r="S109" t="s">
        <v>2037</v>
      </c>
      <c r="T109" t="s">
        <v>2038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>
        <f t="shared" si="4"/>
        <v>595</v>
      </c>
      <c r="G110" s="5" t="s">
        <v>20</v>
      </c>
      <c r="H110">
        <v>83</v>
      </c>
      <c r="I110">
        <f t="shared" si="5"/>
        <v>107.58</v>
      </c>
      <c r="J110" t="s">
        <v>21</v>
      </c>
      <c r="K110" t="s">
        <v>22</v>
      </c>
      <c r="L110">
        <v>1333688400</v>
      </c>
      <c r="M110">
        <v>1336885200</v>
      </c>
      <c r="N110" s="19">
        <f t="shared" si="6"/>
        <v>41005.208333333336</v>
      </c>
      <c r="O110" s="19">
        <f t="shared" si="7"/>
        <v>41042.208333333336</v>
      </c>
      <c r="P110" t="b">
        <v>0</v>
      </c>
      <c r="Q110" t="b">
        <v>0</v>
      </c>
      <c r="R110" t="s">
        <v>42</v>
      </c>
      <c r="S110" t="s">
        <v>2039</v>
      </c>
      <c r="T110" t="s">
        <v>2040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>
        <f t="shared" si="4"/>
        <v>59</v>
      </c>
      <c r="G111" s="4" t="s">
        <v>14</v>
      </c>
      <c r="H111">
        <v>60</v>
      </c>
      <c r="I111">
        <f t="shared" si="5"/>
        <v>51.32</v>
      </c>
      <c r="J111" t="s">
        <v>21</v>
      </c>
      <c r="K111" t="s">
        <v>22</v>
      </c>
      <c r="L111">
        <v>1389506400</v>
      </c>
      <c r="M111">
        <v>1389679200</v>
      </c>
      <c r="N111" s="19">
        <f t="shared" si="6"/>
        <v>41651.25</v>
      </c>
      <c r="O111" s="19">
        <f t="shared" si="7"/>
        <v>41653.25</v>
      </c>
      <c r="P111" t="b">
        <v>0</v>
      </c>
      <c r="Q111" t="b">
        <v>0</v>
      </c>
      <c r="R111" t="s">
        <v>269</v>
      </c>
      <c r="S111" t="s">
        <v>2039</v>
      </c>
      <c r="T111" t="s">
        <v>2058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>
        <f t="shared" si="4"/>
        <v>15</v>
      </c>
      <c r="G112" s="4" t="s">
        <v>14</v>
      </c>
      <c r="H112">
        <v>296</v>
      </c>
      <c r="I112">
        <f t="shared" si="5"/>
        <v>71.98</v>
      </c>
      <c r="J112" t="s">
        <v>21</v>
      </c>
      <c r="K112" t="s">
        <v>22</v>
      </c>
      <c r="L112">
        <v>1536642000</v>
      </c>
      <c r="M112">
        <v>1538283600</v>
      </c>
      <c r="N112" s="19">
        <f t="shared" si="6"/>
        <v>43354.208333333328</v>
      </c>
      <c r="O112" s="19">
        <f t="shared" si="7"/>
        <v>43373.208333333328</v>
      </c>
      <c r="P112" t="b">
        <v>0</v>
      </c>
      <c r="Q112" t="b">
        <v>0</v>
      </c>
      <c r="R112" t="s">
        <v>17</v>
      </c>
      <c r="S112" t="s">
        <v>2031</v>
      </c>
      <c r="T112" t="s">
        <v>2032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>
        <f t="shared" si="4"/>
        <v>120</v>
      </c>
      <c r="G113" s="5" t="s">
        <v>20</v>
      </c>
      <c r="H113">
        <v>676</v>
      </c>
      <c r="I113">
        <f t="shared" si="5"/>
        <v>108.95</v>
      </c>
      <c r="J113" t="s">
        <v>21</v>
      </c>
      <c r="K113" t="s">
        <v>22</v>
      </c>
      <c r="L113">
        <v>1348290000</v>
      </c>
      <c r="M113">
        <v>1348808400</v>
      </c>
      <c r="N113" s="19">
        <f t="shared" si="6"/>
        <v>41174.208333333336</v>
      </c>
      <c r="O113" s="19">
        <f t="shared" si="7"/>
        <v>41180.208333333336</v>
      </c>
      <c r="P113" t="b">
        <v>0</v>
      </c>
      <c r="Q113" t="b">
        <v>0</v>
      </c>
      <c r="R113" t="s">
        <v>133</v>
      </c>
      <c r="S113" t="s">
        <v>2045</v>
      </c>
      <c r="T113" t="s">
        <v>2054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>
        <f t="shared" si="4"/>
        <v>269</v>
      </c>
      <c r="G114" s="5" t="s">
        <v>20</v>
      </c>
      <c r="H114">
        <v>361</v>
      </c>
      <c r="I114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19">
        <f t="shared" si="6"/>
        <v>41875.208333333336</v>
      </c>
      <c r="O114" s="19">
        <f t="shared" si="7"/>
        <v>41890.208333333336</v>
      </c>
      <c r="P114" t="b">
        <v>0</v>
      </c>
      <c r="Q114" t="b">
        <v>0</v>
      </c>
      <c r="R114" t="s">
        <v>28</v>
      </c>
      <c r="S114" t="s">
        <v>2035</v>
      </c>
      <c r="T114" t="s">
        <v>2036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>
        <f t="shared" si="4"/>
        <v>377</v>
      </c>
      <c r="G115" s="5" t="s">
        <v>20</v>
      </c>
      <c r="H115">
        <v>131</v>
      </c>
      <c r="I115">
        <f t="shared" si="5"/>
        <v>94.94</v>
      </c>
      <c r="J115" t="s">
        <v>21</v>
      </c>
      <c r="K115" t="s">
        <v>22</v>
      </c>
      <c r="L115">
        <v>1505192400</v>
      </c>
      <c r="M115">
        <v>1505797200</v>
      </c>
      <c r="N115" s="19">
        <f t="shared" si="6"/>
        <v>42990.208333333328</v>
      </c>
      <c r="O115" s="19">
        <f t="shared" si="7"/>
        <v>42997.208333333328</v>
      </c>
      <c r="P115" t="b">
        <v>0</v>
      </c>
      <c r="Q115" t="b">
        <v>0</v>
      </c>
      <c r="R115" t="s">
        <v>17</v>
      </c>
      <c r="S115" t="s">
        <v>2031</v>
      </c>
      <c r="T115" t="s">
        <v>2032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>
        <f t="shared" si="4"/>
        <v>727</v>
      </c>
      <c r="G116" s="5" t="s">
        <v>20</v>
      </c>
      <c r="H116">
        <v>126</v>
      </c>
      <c r="I116">
        <f t="shared" si="5"/>
        <v>109.65</v>
      </c>
      <c r="J116" t="s">
        <v>21</v>
      </c>
      <c r="K116" t="s">
        <v>22</v>
      </c>
      <c r="L116">
        <v>1554786000</v>
      </c>
      <c r="M116">
        <v>1554872400</v>
      </c>
      <c r="N116" s="19">
        <f t="shared" si="6"/>
        <v>43564.208333333328</v>
      </c>
      <c r="O116" s="19">
        <f t="shared" si="7"/>
        <v>43565.208333333328</v>
      </c>
      <c r="P116" t="b">
        <v>0</v>
      </c>
      <c r="Q116" t="b">
        <v>1</v>
      </c>
      <c r="R116" t="s">
        <v>65</v>
      </c>
      <c r="S116" t="s">
        <v>2035</v>
      </c>
      <c r="T116" t="s">
        <v>2044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>
        <f t="shared" si="4"/>
        <v>87</v>
      </c>
      <c r="G117" s="4" t="s">
        <v>14</v>
      </c>
      <c r="H117">
        <v>3304</v>
      </c>
      <c r="I117">
        <f t="shared" si="5"/>
        <v>44</v>
      </c>
      <c r="J117" t="s">
        <v>107</v>
      </c>
      <c r="K117" t="s">
        <v>108</v>
      </c>
      <c r="L117">
        <v>1510898400</v>
      </c>
      <c r="M117">
        <v>1513922400</v>
      </c>
      <c r="N117" s="19">
        <f t="shared" si="6"/>
        <v>43056.25</v>
      </c>
      <c r="O117" s="19">
        <f t="shared" si="7"/>
        <v>43091.25</v>
      </c>
      <c r="P117" t="b">
        <v>0</v>
      </c>
      <c r="Q117" t="b">
        <v>0</v>
      </c>
      <c r="R117" t="s">
        <v>119</v>
      </c>
      <c r="S117" t="s">
        <v>2045</v>
      </c>
      <c r="T117" t="s">
        <v>2051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>
        <f t="shared" si="4"/>
        <v>88</v>
      </c>
      <c r="G118" s="4" t="s">
        <v>14</v>
      </c>
      <c r="H118">
        <v>73</v>
      </c>
      <c r="I118">
        <f t="shared" si="5"/>
        <v>86.79</v>
      </c>
      <c r="J118" t="s">
        <v>21</v>
      </c>
      <c r="K118" t="s">
        <v>22</v>
      </c>
      <c r="L118">
        <v>1442552400</v>
      </c>
      <c r="M118">
        <v>1442638800</v>
      </c>
      <c r="N118" s="19">
        <f t="shared" si="6"/>
        <v>42265.208333333328</v>
      </c>
      <c r="O118" s="19">
        <f t="shared" si="7"/>
        <v>42266.208333333328</v>
      </c>
      <c r="P118" t="b">
        <v>0</v>
      </c>
      <c r="Q118" t="b">
        <v>0</v>
      </c>
      <c r="R118" t="s">
        <v>33</v>
      </c>
      <c r="S118" t="s">
        <v>2037</v>
      </c>
      <c r="T118" t="s">
        <v>2038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>
        <f t="shared" si="4"/>
        <v>174</v>
      </c>
      <c r="G119" s="5" t="s">
        <v>20</v>
      </c>
      <c r="H119">
        <v>275</v>
      </c>
      <c r="I119">
        <f t="shared" si="5"/>
        <v>30.99</v>
      </c>
      <c r="J119" t="s">
        <v>21</v>
      </c>
      <c r="K119" t="s">
        <v>22</v>
      </c>
      <c r="L119">
        <v>1316667600</v>
      </c>
      <c r="M119">
        <v>1317186000</v>
      </c>
      <c r="N119" s="19">
        <f t="shared" si="6"/>
        <v>40808.208333333336</v>
      </c>
      <c r="O119" s="19">
        <f t="shared" si="7"/>
        <v>40814.208333333336</v>
      </c>
      <c r="P119" t="b">
        <v>0</v>
      </c>
      <c r="Q119" t="b">
        <v>0</v>
      </c>
      <c r="R119" t="s">
        <v>269</v>
      </c>
      <c r="S119" t="s">
        <v>2039</v>
      </c>
      <c r="T119" t="s">
        <v>2058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>
        <f t="shared" si="4"/>
        <v>118</v>
      </c>
      <c r="G120" s="5" t="s">
        <v>20</v>
      </c>
      <c r="H120">
        <v>67</v>
      </c>
      <c r="I120">
        <f t="shared" si="5"/>
        <v>94.79</v>
      </c>
      <c r="J120" t="s">
        <v>21</v>
      </c>
      <c r="K120" t="s">
        <v>22</v>
      </c>
      <c r="L120">
        <v>1390716000</v>
      </c>
      <c r="M120">
        <v>1391234400</v>
      </c>
      <c r="N120" s="19">
        <f t="shared" si="6"/>
        <v>41665.25</v>
      </c>
      <c r="O120" s="19">
        <f t="shared" si="7"/>
        <v>41671.25</v>
      </c>
      <c r="P120" t="b">
        <v>0</v>
      </c>
      <c r="Q120" t="b">
        <v>0</v>
      </c>
      <c r="R120" t="s">
        <v>122</v>
      </c>
      <c r="S120" t="s">
        <v>2052</v>
      </c>
      <c r="T120" t="s">
        <v>2053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>
        <f t="shared" si="4"/>
        <v>215</v>
      </c>
      <c r="G121" s="5" t="s">
        <v>20</v>
      </c>
      <c r="H121">
        <v>154</v>
      </c>
      <c r="I121">
        <f t="shared" si="5"/>
        <v>69.790000000000006</v>
      </c>
      <c r="J121" t="s">
        <v>21</v>
      </c>
      <c r="K121" t="s">
        <v>22</v>
      </c>
      <c r="L121">
        <v>1402894800</v>
      </c>
      <c r="M121">
        <v>1404363600</v>
      </c>
      <c r="N121" s="19">
        <f t="shared" si="6"/>
        <v>41806.208333333336</v>
      </c>
      <c r="O121" s="19">
        <f t="shared" si="7"/>
        <v>41823.208333333336</v>
      </c>
      <c r="P121" t="b">
        <v>0</v>
      </c>
      <c r="Q121" t="b">
        <v>1</v>
      </c>
      <c r="R121" t="s">
        <v>42</v>
      </c>
      <c r="S121" t="s">
        <v>2039</v>
      </c>
      <c r="T121" t="s">
        <v>2040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>
        <f t="shared" si="4"/>
        <v>149</v>
      </c>
      <c r="G122" s="5" t="s">
        <v>20</v>
      </c>
      <c r="H122">
        <v>1782</v>
      </c>
      <c r="I122">
        <f t="shared" si="5"/>
        <v>63</v>
      </c>
      <c r="J122" t="s">
        <v>21</v>
      </c>
      <c r="K122" t="s">
        <v>22</v>
      </c>
      <c r="L122">
        <v>1429246800</v>
      </c>
      <c r="M122">
        <v>1429592400</v>
      </c>
      <c r="N122" s="19">
        <f t="shared" si="6"/>
        <v>42111.208333333328</v>
      </c>
      <c r="O122" s="19">
        <f t="shared" si="7"/>
        <v>42115.208333333328</v>
      </c>
      <c r="P122" t="b">
        <v>0</v>
      </c>
      <c r="Q122" t="b">
        <v>1</v>
      </c>
      <c r="R122" t="s">
        <v>292</v>
      </c>
      <c r="S122" t="s">
        <v>2048</v>
      </c>
      <c r="T122" t="s">
        <v>2059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>
        <f t="shared" si="4"/>
        <v>219</v>
      </c>
      <c r="G123" s="5" t="s">
        <v>20</v>
      </c>
      <c r="H123">
        <v>903</v>
      </c>
      <c r="I123">
        <f t="shared" si="5"/>
        <v>110.03</v>
      </c>
      <c r="J123" t="s">
        <v>21</v>
      </c>
      <c r="K123" t="s">
        <v>22</v>
      </c>
      <c r="L123">
        <v>1412485200</v>
      </c>
      <c r="M123">
        <v>1413608400</v>
      </c>
      <c r="N123" s="19">
        <f t="shared" si="6"/>
        <v>41917.208333333336</v>
      </c>
      <c r="O123" s="19">
        <f t="shared" si="7"/>
        <v>41930.208333333336</v>
      </c>
      <c r="P123" t="b">
        <v>0</v>
      </c>
      <c r="Q123" t="b">
        <v>0</v>
      </c>
      <c r="R123" t="s">
        <v>89</v>
      </c>
      <c r="S123" t="s">
        <v>2048</v>
      </c>
      <c r="T123" t="s">
        <v>2049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>
        <f t="shared" si="4"/>
        <v>64</v>
      </c>
      <c r="G124" s="4" t="s">
        <v>14</v>
      </c>
      <c r="H124">
        <v>3387</v>
      </c>
      <c r="I124">
        <f t="shared" si="5"/>
        <v>26</v>
      </c>
      <c r="J124" t="s">
        <v>21</v>
      </c>
      <c r="K124" t="s">
        <v>22</v>
      </c>
      <c r="L124">
        <v>1417068000</v>
      </c>
      <c r="M124">
        <v>1419400800</v>
      </c>
      <c r="N124" s="19">
        <f t="shared" si="6"/>
        <v>41970.25</v>
      </c>
      <c r="O124" s="19">
        <f t="shared" si="7"/>
        <v>41997.25</v>
      </c>
      <c r="P124" t="b">
        <v>0</v>
      </c>
      <c r="Q124" t="b">
        <v>0</v>
      </c>
      <c r="R124" t="s">
        <v>119</v>
      </c>
      <c r="S124" t="s">
        <v>2045</v>
      </c>
      <c r="T124" t="s">
        <v>2051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>
        <f t="shared" si="4"/>
        <v>19</v>
      </c>
      <c r="G125" s="4" t="s">
        <v>14</v>
      </c>
      <c r="H125">
        <v>662</v>
      </c>
      <c r="I125">
        <f t="shared" si="5"/>
        <v>49.99</v>
      </c>
      <c r="J125" t="s">
        <v>15</v>
      </c>
      <c r="K125" t="s">
        <v>16</v>
      </c>
      <c r="L125">
        <v>1448344800</v>
      </c>
      <c r="M125">
        <v>1448604000</v>
      </c>
      <c r="N125" s="19">
        <f t="shared" si="6"/>
        <v>42332.25</v>
      </c>
      <c r="O125" s="19">
        <f t="shared" si="7"/>
        <v>42335.25</v>
      </c>
      <c r="P125" t="b">
        <v>1</v>
      </c>
      <c r="Q125" t="b">
        <v>0</v>
      </c>
      <c r="R125" t="s">
        <v>33</v>
      </c>
      <c r="S125" t="s">
        <v>2037</v>
      </c>
      <c r="T125" t="s">
        <v>2038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>
        <f t="shared" si="4"/>
        <v>368</v>
      </c>
      <c r="G126" s="5" t="s">
        <v>20</v>
      </c>
      <c r="H126">
        <v>94</v>
      </c>
      <c r="I126">
        <f t="shared" si="5"/>
        <v>101.72</v>
      </c>
      <c r="J126" t="s">
        <v>107</v>
      </c>
      <c r="K126" t="s">
        <v>108</v>
      </c>
      <c r="L126">
        <v>1557723600</v>
      </c>
      <c r="M126">
        <v>1562302800</v>
      </c>
      <c r="N126" s="19">
        <f t="shared" si="6"/>
        <v>43598.208333333328</v>
      </c>
      <c r="O126" s="19">
        <f t="shared" si="7"/>
        <v>43651.208333333328</v>
      </c>
      <c r="P126" t="b">
        <v>0</v>
      </c>
      <c r="Q126" t="b">
        <v>0</v>
      </c>
      <c r="R126" t="s">
        <v>122</v>
      </c>
      <c r="S126" t="s">
        <v>2052</v>
      </c>
      <c r="T126" t="s">
        <v>2053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>
        <f t="shared" si="4"/>
        <v>160</v>
      </c>
      <c r="G127" s="5" t="s">
        <v>20</v>
      </c>
      <c r="H127">
        <v>180</v>
      </c>
      <c r="I127">
        <f t="shared" si="5"/>
        <v>47.08</v>
      </c>
      <c r="J127" t="s">
        <v>21</v>
      </c>
      <c r="K127" t="s">
        <v>22</v>
      </c>
      <c r="L127">
        <v>1537333200</v>
      </c>
      <c r="M127">
        <v>1537678800</v>
      </c>
      <c r="N127" s="19">
        <f t="shared" si="6"/>
        <v>43362.208333333328</v>
      </c>
      <c r="O127" s="19">
        <f t="shared" si="7"/>
        <v>43366.208333333328</v>
      </c>
      <c r="P127" t="b">
        <v>0</v>
      </c>
      <c r="Q127" t="b">
        <v>0</v>
      </c>
      <c r="R127" t="s">
        <v>33</v>
      </c>
      <c r="S127" t="s">
        <v>2037</v>
      </c>
      <c r="T127" t="s">
        <v>2038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>
        <f t="shared" si="4"/>
        <v>39</v>
      </c>
      <c r="G128" s="4" t="s">
        <v>14</v>
      </c>
      <c r="H128">
        <v>774</v>
      </c>
      <c r="I128">
        <f t="shared" si="5"/>
        <v>89.94</v>
      </c>
      <c r="J128" t="s">
        <v>21</v>
      </c>
      <c r="K128" t="s">
        <v>22</v>
      </c>
      <c r="L128">
        <v>1471150800</v>
      </c>
      <c r="M128">
        <v>1473570000</v>
      </c>
      <c r="N128" s="19">
        <f t="shared" si="6"/>
        <v>42596.208333333328</v>
      </c>
      <c r="O128" s="19">
        <f t="shared" si="7"/>
        <v>42624.208333333328</v>
      </c>
      <c r="P128" t="b">
        <v>0</v>
      </c>
      <c r="Q128" t="b">
        <v>1</v>
      </c>
      <c r="R128" t="s">
        <v>33</v>
      </c>
      <c r="S128" t="s">
        <v>2037</v>
      </c>
      <c r="T128" t="s">
        <v>2038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>
        <f t="shared" si="4"/>
        <v>51</v>
      </c>
      <c r="G129" s="4" t="s">
        <v>14</v>
      </c>
      <c r="H129">
        <v>672</v>
      </c>
      <c r="I129">
        <f t="shared" si="5"/>
        <v>78.97</v>
      </c>
      <c r="J129" t="s">
        <v>15</v>
      </c>
      <c r="K129" t="s">
        <v>16</v>
      </c>
      <c r="L129">
        <v>1273640400</v>
      </c>
      <c r="M129">
        <v>1273899600</v>
      </c>
      <c r="N129" s="19">
        <f t="shared" si="6"/>
        <v>40310.208333333336</v>
      </c>
      <c r="O129" s="19">
        <f t="shared" si="7"/>
        <v>40313.208333333336</v>
      </c>
      <c r="P129" t="b">
        <v>0</v>
      </c>
      <c r="Q129" t="b">
        <v>0</v>
      </c>
      <c r="R129" t="s">
        <v>33</v>
      </c>
      <c r="S129" t="s">
        <v>2037</v>
      </c>
      <c r="T129" t="s">
        <v>2038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>
        <f t="shared" si="4"/>
        <v>60</v>
      </c>
      <c r="G130" s="7" t="s">
        <v>74</v>
      </c>
      <c r="H130">
        <v>532</v>
      </c>
      <c r="I130">
        <f t="shared" si="5"/>
        <v>80.069999999999993</v>
      </c>
      <c r="J130" t="s">
        <v>21</v>
      </c>
      <c r="K130" t="s">
        <v>22</v>
      </c>
      <c r="L130">
        <v>1282885200</v>
      </c>
      <c r="M130">
        <v>1284008400</v>
      </c>
      <c r="N130" s="19">
        <f t="shared" si="6"/>
        <v>40417.208333333336</v>
      </c>
      <c r="O130" s="19">
        <f t="shared" si="7"/>
        <v>40430.208333333336</v>
      </c>
      <c r="P130" t="b">
        <v>0</v>
      </c>
      <c r="Q130" t="b">
        <v>0</v>
      </c>
      <c r="R130" t="s">
        <v>23</v>
      </c>
      <c r="S130" t="s">
        <v>2033</v>
      </c>
      <c r="T130" t="s">
        <v>2034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>
        <f t="shared" ref="F131:F194" si="8">ROUND(E131/D131*100,0)</f>
        <v>3</v>
      </c>
      <c r="G131" s="7" t="s">
        <v>74</v>
      </c>
      <c r="H131">
        <v>55</v>
      </c>
      <c r="I131">
        <f t="shared" ref="I131:I194" si="9">ROUND(E131/H131,2)</f>
        <v>86.47</v>
      </c>
      <c r="J131" t="s">
        <v>26</v>
      </c>
      <c r="K131" t="s">
        <v>27</v>
      </c>
      <c r="L131">
        <v>1422943200</v>
      </c>
      <c r="M131">
        <v>1425103200</v>
      </c>
      <c r="N131" s="19">
        <f t="shared" ref="N131:N194" si="10">(((L131/60)/60)/24)+DATE(1970,1,1)</f>
        <v>42038.25</v>
      </c>
      <c r="O131" s="19">
        <f t="shared" ref="O131:O194" si="11">(((M131/60)/60)/24)+DATE(1970,1,1)</f>
        <v>42063.25</v>
      </c>
      <c r="P131" t="b">
        <v>0</v>
      </c>
      <c r="Q131" t="b">
        <v>0</v>
      </c>
      <c r="R131" t="s">
        <v>17</v>
      </c>
      <c r="S131" t="s">
        <v>2031</v>
      </c>
      <c r="T131" t="s">
        <v>2032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>
        <f t="shared" si="8"/>
        <v>155</v>
      </c>
      <c r="G132" s="5" t="s">
        <v>20</v>
      </c>
      <c r="H132">
        <v>533</v>
      </c>
      <c r="I132">
        <f t="shared" si="9"/>
        <v>28</v>
      </c>
      <c r="J132" t="s">
        <v>36</v>
      </c>
      <c r="K132" t="s">
        <v>37</v>
      </c>
      <c r="L132">
        <v>1319605200</v>
      </c>
      <c r="M132">
        <v>1320991200</v>
      </c>
      <c r="N132" s="19">
        <f t="shared" si="10"/>
        <v>40842.208333333336</v>
      </c>
      <c r="O132" s="19">
        <f t="shared" si="11"/>
        <v>40858.25</v>
      </c>
      <c r="P132" t="b">
        <v>0</v>
      </c>
      <c r="Q132" t="b">
        <v>0</v>
      </c>
      <c r="R132" t="s">
        <v>53</v>
      </c>
      <c r="S132" t="s">
        <v>2039</v>
      </c>
      <c r="T132" t="s">
        <v>2042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>
        <f t="shared" si="8"/>
        <v>101</v>
      </c>
      <c r="G133" s="5" t="s">
        <v>20</v>
      </c>
      <c r="H133">
        <v>2443</v>
      </c>
      <c r="I133">
        <f t="shared" si="9"/>
        <v>68</v>
      </c>
      <c r="J133" t="s">
        <v>40</v>
      </c>
      <c r="K133" t="s">
        <v>41</v>
      </c>
      <c r="L133">
        <v>1385704800</v>
      </c>
      <c r="M133">
        <v>1386828000</v>
      </c>
      <c r="N133" s="19">
        <f t="shared" si="10"/>
        <v>41607.25</v>
      </c>
      <c r="O133" s="19">
        <f t="shared" si="11"/>
        <v>41620.25</v>
      </c>
      <c r="P133" t="b">
        <v>0</v>
      </c>
      <c r="Q133" t="b">
        <v>0</v>
      </c>
      <c r="R133" t="s">
        <v>28</v>
      </c>
      <c r="S133" t="s">
        <v>2035</v>
      </c>
      <c r="T133" t="s">
        <v>2036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>
        <f t="shared" si="8"/>
        <v>116</v>
      </c>
      <c r="G134" s="5" t="s">
        <v>20</v>
      </c>
      <c r="H134">
        <v>89</v>
      </c>
      <c r="I134">
        <f t="shared" si="9"/>
        <v>43.08</v>
      </c>
      <c r="J134" t="s">
        <v>21</v>
      </c>
      <c r="K134" t="s">
        <v>22</v>
      </c>
      <c r="L134">
        <v>1515736800</v>
      </c>
      <c r="M134">
        <v>1517119200</v>
      </c>
      <c r="N134" s="19">
        <f t="shared" si="10"/>
        <v>43112.25</v>
      </c>
      <c r="O134" s="19">
        <f t="shared" si="11"/>
        <v>43128.25</v>
      </c>
      <c r="P134" t="b">
        <v>0</v>
      </c>
      <c r="Q134" t="b">
        <v>1</v>
      </c>
      <c r="R134" t="s">
        <v>33</v>
      </c>
      <c r="S134" t="s">
        <v>2037</v>
      </c>
      <c r="T134" t="s">
        <v>2038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>
        <f t="shared" si="8"/>
        <v>311</v>
      </c>
      <c r="G135" s="5" t="s">
        <v>20</v>
      </c>
      <c r="H135">
        <v>159</v>
      </c>
      <c r="I135">
        <f t="shared" si="9"/>
        <v>87.96</v>
      </c>
      <c r="J135" t="s">
        <v>21</v>
      </c>
      <c r="K135" t="s">
        <v>22</v>
      </c>
      <c r="L135">
        <v>1313125200</v>
      </c>
      <c r="M135">
        <v>1315026000</v>
      </c>
      <c r="N135" s="19">
        <f t="shared" si="10"/>
        <v>40767.208333333336</v>
      </c>
      <c r="O135" s="19">
        <f t="shared" si="11"/>
        <v>40789.208333333336</v>
      </c>
      <c r="P135" t="b">
        <v>0</v>
      </c>
      <c r="Q135" t="b">
        <v>0</v>
      </c>
      <c r="R135" t="s">
        <v>319</v>
      </c>
      <c r="S135" t="s">
        <v>2033</v>
      </c>
      <c r="T135" t="s">
        <v>2060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>
        <f t="shared" si="8"/>
        <v>90</v>
      </c>
      <c r="G136" s="4" t="s">
        <v>14</v>
      </c>
      <c r="H136">
        <v>940</v>
      </c>
      <c r="I136">
        <f t="shared" si="9"/>
        <v>94.99</v>
      </c>
      <c r="J136" t="s">
        <v>98</v>
      </c>
      <c r="K136" t="s">
        <v>99</v>
      </c>
      <c r="L136">
        <v>1308459600</v>
      </c>
      <c r="M136">
        <v>1312693200</v>
      </c>
      <c r="N136" s="19">
        <f t="shared" si="10"/>
        <v>40713.208333333336</v>
      </c>
      <c r="O136" s="19">
        <f t="shared" si="11"/>
        <v>40762.208333333336</v>
      </c>
      <c r="P136" t="b">
        <v>0</v>
      </c>
      <c r="Q136" t="b">
        <v>1</v>
      </c>
      <c r="R136" t="s">
        <v>42</v>
      </c>
      <c r="S136" t="s">
        <v>2039</v>
      </c>
      <c r="T136" t="s">
        <v>2040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>
        <f t="shared" si="8"/>
        <v>71</v>
      </c>
      <c r="G137" s="4" t="s">
        <v>14</v>
      </c>
      <c r="H137">
        <v>117</v>
      </c>
      <c r="I137">
        <f t="shared" si="9"/>
        <v>46.91</v>
      </c>
      <c r="J137" t="s">
        <v>21</v>
      </c>
      <c r="K137" t="s">
        <v>22</v>
      </c>
      <c r="L137">
        <v>1362636000</v>
      </c>
      <c r="M137">
        <v>1363064400</v>
      </c>
      <c r="N137" s="19">
        <f t="shared" si="10"/>
        <v>41340.25</v>
      </c>
      <c r="O137" s="19">
        <f t="shared" si="11"/>
        <v>41345.208333333336</v>
      </c>
      <c r="P137" t="b">
        <v>0</v>
      </c>
      <c r="Q137" t="b">
        <v>1</v>
      </c>
      <c r="R137" t="s">
        <v>33</v>
      </c>
      <c r="S137" t="s">
        <v>2037</v>
      </c>
      <c r="T137" t="s">
        <v>2038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>
        <f t="shared" si="8"/>
        <v>3</v>
      </c>
      <c r="G138" s="7" t="s">
        <v>74</v>
      </c>
      <c r="H138">
        <v>58</v>
      </c>
      <c r="I138">
        <f t="shared" si="9"/>
        <v>46.91</v>
      </c>
      <c r="J138" t="s">
        <v>21</v>
      </c>
      <c r="K138" t="s">
        <v>22</v>
      </c>
      <c r="L138">
        <v>1402117200</v>
      </c>
      <c r="M138">
        <v>1403154000</v>
      </c>
      <c r="N138" s="19">
        <f t="shared" si="10"/>
        <v>41797.208333333336</v>
      </c>
      <c r="O138" s="19">
        <f t="shared" si="11"/>
        <v>41809.208333333336</v>
      </c>
      <c r="P138" t="b">
        <v>0</v>
      </c>
      <c r="Q138" t="b">
        <v>1</v>
      </c>
      <c r="R138" t="s">
        <v>53</v>
      </c>
      <c r="S138" t="s">
        <v>2039</v>
      </c>
      <c r="T138" t="s">
        <v>2042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>
        <f t="shared" si="8"/>
        <v>262</v>
      </c>
      <c r="G139" s="5" t="s">
        <v>20</v>
      </c>
      <c r="H139">
        <v>50</v>
      </c>
      <c r="I139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19">
        <f t="shared" si="10"/>
        <v>40457.208333333336</v>
      </c>
      <c r="O139" s="19">
        <f t="shared" si="11"/>
        <v>40463.208333333336</v>
      </c>
      <c r="P139" t="b">
        <v>0</v>
      </c>
      <c r="Q139" t="b">
        <v>0</v>
      </c>
      <c r="R139" t="s">
        <v>68</v>
      </c>
      <c r="S139" t="s">
        <v>2045</v>
      </c>
      <c r="T139" t="s">
        <v>2046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>
        <f t="shared" si="8"/>
        <v>96</v>
      </c>
      <c r="G140" s="4" t="s">
        <v>14</v>
      </c>
      <c r="H140">
        <v>115</v>
      </c>
      <c r="I140">
        <f t="shared" si="9"/>
        <v>80.14</v>
      </c>
      <c r="J140" t="s">
        <v>21</v>
      </c>
      <c r="K140" t="s">
        <v>22</v>
      </c>
      <c r="L140">
        <v>1348808400</v>
      </c>
      <c r="M140">
        <v>1349326800</v>
      </c>
      <c r="N140" s="19">
        <f t="shared" si="10"/>
        <v>41180.208333333336</v>
      </c>
      <c r="O140" s="19">
        <f t="shared" si="11"/>
        <v>41186.208333333336</v>
      </c>
      <c r="P140" t="b">
        <v>0</v>
      </c>
      <c r="Q140" t="b">
        <v>0</v>
      </c>
      <c r="R140" t="s">
        <v>292</v>
      </c>
      <c r="S140" t="s">
        <v>2048</v>
      </c>
      <c r="T140" t="s">
        <v>2059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>
        <f t="shared" si="8"/>
        <v>21</v>
      </c>
      <c r="G141" s="4" t="s">
        <v>14</v>
      </c>
      <c r="H141">
        <v>326</v>
      </c>
      <c r="I141">
        <f t="shared" si="9"/>
        <v>59.04</v>
      </c>
      <c r="J141" t="s">
        <v>21</v>
      </c>
      <c r="K141" t="s">
        <v>22</v>
      </c>
      <c r="L141">
        <v>1429592400</v>
      </c>
      <c r="M141">
        <v>1430974800</v>
      </c>
      <c r="N141" s="19">
        <f t="shared" si="10"/>
        <v>42115.208333333328</v>
      </c>
      <c r="O141" s="19">
        <f t="shared" si="11"/>
        <v>42131.208333333328</v>
      </c>
      <c r="P141" t="b">
        <v>0</v>
      </c>
      <c r="Q141" t="b">
        <v>1</v>
      </c>
      <c r="R141" t="s">
        <v>65</v>
      </c>
      <c r="S141" t="s">
        <v>2035</v>
      </c>
      <c r="T141" t="s">
        <v>2044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>
        <f t="shared" si="8"/>
        <v>223</v>
      </c>
      <c r="G142" s="5" t="s">
        <v>20</v>
      </c>
      <c r="H142">
        <v>186</v>
      </c>
      <c r="I142">
        <f t="shared" si="9"/>
        <v>65.989999999999995</v>
      </c>
      <c r="J142" t="s">
        <v>21</v>
      </c>
      <c r="K142" t="s">
        <v>22</v>
      </c>
      <c r="L142">
        <v>1519538400</v>
      </c>
      <c r="M142">
        <v>1519970400</v>
      </c>
      <c r="N142" s="19">
        <f t="shared" si="10"/>
        <v>43156.25</v>
      </c>
      <c r="O142" s="19">
        <f t="shared" si="11"/>
        <v>43161.25</v>
      </c>
      <c r="P142" t="b">
        <v>0</v>
      </c>
      <c r="Q142" t="b">
        <v>0</v>
      </c>
      <c r="R142" t="s">
        <v>42</v>
      </c>
      <c r="S142" t="s">
        <v>2039</v>
      </c>
      <c r="T142" t="s">
        <v>2040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>
        <f t="shared" si="8"/>
        <v>102</v>
      </c>
      <c r="G143" s="5" t="s">
        <v>20</v>
      </c>
      <c r="H143">
        <v>1071</v>
      </c>
      <c r="I143">
        <f t="shared" si="9"/>
        <v>60.99</v>
      </c>
      <c r="J143" t="s">
        <v>21</v>
      </c>
      <c r="K143" t="s">
        <v>22</v>
      </c>
      <c r="L143">
        <v>1434085200</v>
      </c>
      <c r="M143">
        <v>1434603600</v>
      </c>
      <c r="N143" s="19">
        <f t="shared" si="10"/>
        <v>42167.208333333328</v>
      </c>
      <c r="O143" s="19">
        <f t="shared" si="11"/>
        <v>42173.208333333328</v>
      </c>
      <c r="P143" t="b">
        <v>0</v>
      </c>
      <c r="Q143" t="b">
        <v>0</v>
      </c>
      <c r="R143" t="s">
        <v>28</v>
      </c>
      <c r="S143" t="s">
        <v>2035</v>
      </c>
      <c r="T143" t="s">
        <v>2036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>
        <f t="shared" si="8"/>
        <v>230</v>
      </c>
      <c r="G144" s="5" t="s">
        <v>20</v>
      </c>
      <c r="H144">
        <v>117</v>
      </c>
      <c r="I144">
        <f t="shared" si="9"/>
        <v>98.31</v>
      </c>
      <c r="J144" t="s">
        <v>21</v>
      </c>
      <c r="K144" t="s">
        <v>22</v>
      </c>
      <c r="L144">
        <v>1333688400</v>
      </c>
      <c r="M144">
        <v>1337230800</v>
      </c>
      <c r="N144" s="19">
        <f t="shared" si="10"/>
        <v>41005.208333333336</v>
      </c>
      <c r="O144" s="19">
        <f t="shared" si="11"/>
        <v>41046.208333333336</v>
      </c>
      <c r="P144" t="b">
        <v>0</v>
      </c>
      <c r="Q144" t="b">
        <v>0</v>
      </c>
      <c r="R144" t="s">
        <v>28</v>
      </c>
      <c r="S144" t="s">
        <v>2035</v>
      </c>
      <c r="T144" t="s">
        <v>2036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>
        <f t="shared" si="8"/>
        <v>136</v>
      </c>
      <c r="G145" s="5" t="s">
        <v>20</v>
      </c>
      <c r="H145">
        <v>70</v>
      </c>
      <c r="I145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19">
        <f t="shared" si="10"/>
        <v>40357.208333333336</v>
      </c>
      <c r="O145" s="19">
        <f t="shared" si="11"/>
        <v>40377.208333333336</v>
      </c>
      <c r="P145" t="b">
        <v>0</v>
      </c>
      <c r="Q145" t="b">
        <v>0</v>
      </c>
      <c r="R145" t="s">
        <v>60</v>
      </c>
      <c r="S145" t="s">
        <v>2033</v>
      </c>
      <c r="T145" t="s">
        <v>2043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>
        <f t="shared" si="8"/>
        <v>129</v>
      </c>
      <c r="G146" s="5" t="s">
        <v>20</v>
      </c>
      <c r="H146">
        <v>135</v>
      </c>
      <c r="I146">
        <f t="shared" si="9"/>
        <v>86.07</v>
      </c>
      <c r="J146" t="s">
        <v>21</v>
      </c>
      <c r="K146" t="s">
        <v>22</v>
      </c>
      <c r="L146">
        <v>1560747600</v>
      </c>
      <c r="M146">
        <v>1561438800</v>
      </c>
      <c r="N146" s="19">
        <f t="shared" si="10"/>
        <v>43633.208333333328</v>
      </c>
      <c r="O146" s="19">
        <f t="shared" si="11"/>
        <v>43641.208333333328</v>
      </c>
      <c r="P146" t="b">
        <v>0</v>
      </c>
      <c r="Q146" t="b">
        <v>0</v>
      </c>
      <c r="R146" t="s">
        <v>33</v>
      </c>
      <c r="S146" t="s">
        <v>2037</v>
      </c>
      <c r="T146" t="s">
        <v>2038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>
        <f t="shared" si="8"/>
        <v>237</v>
      </c>
      <c r="G147" s="5" t="s">
        <v>20</v>
      </c>
      <c r="H147">
        <v>768</v>
      </c>
      <c r="I147">
        <f t="shared" si="9"/>
        <v>76.989999999999995</v>
      </c>
      <c r="J147" t="s">
        <v>98</v>
      </c>
      <c r="K147" t="s">
        <v>99</v>
      </c>
      <c r="L147">
        <v>1410066000</v>
      </c>
      <c r="M147">
        <v>1410498000</v>
      </c>
      <c r="N147" s="19">
        <f t="shared" si="10"/>
        <v>41889.208333333336</v>
      </c>
      <c r="O147" s="19">
        <f t="shared" si="11"/>
        <v>41894.208333333336</v>
      </c>
      <c r="P147" t="b">
        <v>0</v>
      </c>
      <c r="Q147" t="b">
        <v>0</v>
      </c>
      <c r="R147" t="s">
        <v>65</v>
      </c>
      <c r="S147" t="s">
        <v>2035</v>
      </c>
      <c r="T147" t="s">
        <v>2044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>
        <f t="shared" si="8"/>
        <v>17</v>
      </c>
      <c r="G148" s="7" t="s">
        <v>74</v>
      </c>
      <c r="H148">
        <v>51</v>
      </c>
      <c r="I148">
        <f t="shared" si="9"/>
        <v>29.76</v>
      </c>
      <c r="J148" t="s">
        <v>21</v>
      </c>
      <c r="K148" t="s">
        <v>22</v>
      </c>
      <c r="L148">
        <v>1320732000</v>
      </c>
      <c r="M148">
        <v>1322460000</v>
      </c>
      <c r="N148" s="19">
        <f t="shared" si="10"/>
        <v>40855.25</v>
      </c>
      <c r="O148" s="19">
        <f t="shared" si="11"/>
        <v>40875.25</v>
      </c>
      <c r="P148" t="b">
        <v>0</v>
      </c>
      <c r="Q148" t="b">
        <v>0</v>
      </c>
      <c r="R148" t="s">
        <v>33</v>
      </c>
      <c r="S148" t="s">
        <v>2037</v>
      </c>
      <c r="T148" t="s">
        <v>2038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>
        <f t="shared" si="8"/>
        <v>112</v>
      </c>
      <c r="G149" s="5" t="s">
        <v>20</v>
      </c>
      <c r="H149">
        <v>199</v>
      </c>
      <c r="I149">
        <f t="shared" si="9"/>
        <v>46.92</v>
      </c>
      <c r="J149" t="s">
        <v>21</v>
      </c>
      <c r="K149" t="s">
        <v>22</v>
      </c>
      <c r="L149">
        <v>1465794000</v>
      </c>
      <c r="M149">
        <v>1466312400</v>
      </c>
      <c r="N149" s="19">
        <f t="shared" si="10"/>
        <v>42534.208333333328</v>
      </c>
      <c r="O149" s="19">
        <f t="shared" si="11"/>
        <v>42540.208333333328</v>
      </c>
      <c r="P149" t="b">
        <v>0</v>
      </c>
      <c r="Q149" t="b">
        <v>1</v>
      </c>
      <c r="R149" t="s">
        <v>33</v>
      </c>
      <c r="S149" t="s">
        <v>2037</v>
      </c>
      <c r="T149" t="s">
        <v>2038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>
        <f t="shared" si="8"/>
        <v>121</v>
      </c>
      <c r="G150" s="5" t="s">
        <v>20</v>
      </c>
      <c r="H150">
        <v>107</v>
      </c>
      <c r="I150">
        <f t="shared" si="9"/>
        <v>105.19</v>
      </c>
      <c r="J150" t="s">
        <v>21</v>
      </c>
      <c r="K150" t="s">
        <v>22</v>
      </c>
      <c r="L150">
        <v>1500958800</v>
      </c>
      <c r="M150">
        <v>1501736400</v>
      </c>
      <c r="N150" s="19">
        <f t="shared" si="10"/>
        <v>42941.208333333328</v>
      </c>
      <c r="O150" s="19">
        <f t="shared" si="11"/>
        <v>42950.208333333328</v>
      </c>
      <c r="P150" t="b">
        <v>0</v>
      </c>
      <c r="Q150" t="b">
        <v>0</v>
      </c>
      <c r="R150" t="s">
        <v>65</v>
      </c>
      <c r="S150" t="s">
        <v>2035</v>
      </c>
      <c r="T150" t="s">
        <v>2044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>
        <f t="shared" si="8"/>
        <v>220</v>
      </c>
      <c r="G151" s="5" t="s">
        <v>20</v>
      </c>
      <c r="H151">
        <v>195</v>
      </c>
      <c r="I151">
        <f t="shared" si="9"/>
        <v>69.91</v>
      </c>
      <c r="J151" t="s">
        <v>21</v>
      </c>
      <c r="K151" t="s">
        <v>22</v>
      </c>
      <c r="L151">
        <v>1357020000</v>
      </c>
      <c r="M151">
        <v>1361512800</v>
      </c>
      <c r="N151" s="19">
        <f t="shared" si="10"/>
        <v>41275.25</v>
      </c>
      <c r="O151" s="19">
        <f t="shared" si="11"/>
        <v>41327.25</v>
      </c>
      <c r="P151" t="b">
        <v>0</v>
      </c>
      <c r="Q151" t="b">
        <v>0</v>
      </c>
      <c r="R151" t="s">
        <v>60</v>
      </c>
      <c r="S151" t="s">
        <v>2033</v>
      </c>
      <c r="T151" t="s">
        <v>2043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>
        <f t="shared" si="8"/>
        <v>1</v>
      </c>
      <c r="G152" s="4" t="s">
        <v>14</v>
      </c>
      <c r="H152">
        <v>1</v>
      </c>
      <c r="I152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19">
        <f t="shared" si="10"/>
        <v>43450.25</v>
      </c>
      <c r="O152" s="19">
        <f t="shared" si="11"/>
        <v>43451.25</v>
      </c>
      <c r="P152" t="b">
        <v>0</v>
      </c>
      <c r="Q152" t="b">
        <v>0</v>
      </c>
      <c r="R152" t="s">
        <v>23</v>
      </c>
      <c r="S152" t="s">
        <v>2033</v>
      </c>
      <c r="T152" t="s">
        <v>2034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>
        <f t="shared" si="8"/>
        <v>64</v>
      </c>
      <c r="G153" s="4" t="s">
        <v>14</v>
      </c>
      <c r="H153">
        <v>1467</v>
      </c>
      <c r="I153">
        <f t="shared" si="9"/>
        <v>60.01</v>
      </c>
      <c r="J153" t="s">
        <v>21</v>
      </c>
      <c r="K153" t="s">
        <v>22</v>
      </c>
      <c r="L153">
        <v>1402290000</v>
      </c>
      <c r="M153">
        <v>1406696400</v>
      </c>
      <c r="N153" s="19">
        <f t="shared" si="10"/>
        <v>41799.208333333336</v>
      </c>
      <c r="O153" s="19">
        <f t="shared" si="11"/>
        <v>41850.208333333336</v>
      </c>
      <c r="P153" t="b">
        <v>0</v>
      </c>
      <c r="Q153" t="b">
        <v>0</v>
      </c>
      <c r="R153" t="s">
        <v>50</v>
      </c>
      <c r="S153" t="s">
        <v>2033</v>
      </c>
      <c r="T153" t="s">
        <v>2041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>
        <f t="shared" si="8"/>
        <v>423</v>
      </c>
      <c r="G154" s="5" t="s">
        <v>20</v>
      </c>
      <c r="H154">
        <v>3376</v>
      </c>
      <c r="I154">
        <f t="shared" si="9"/>
        <v>52.01</v>
      </c>
      <c r="J154" t="s">
        <v>21</v>
      </c>
      <c r="K154" t="s">
        <v>22</v>
      </c>
      <c r="L154">
        <v>1487311200</v>
      </c>
      <c r="M154">
        <v>1487916000</v>
      </c>
      <c r="N154" s="19">
        <f t="shared" si="10"/>
        <v>42783.25</v>
      </c>
      <c r="O154" s="19">
        <f t="shared" si="11"/>
        <v>42790.25</v>
      </c>
      <c r="P154" t="b">
        <v>0</v>
      </c>
      <c r="Q154" t="b">
        <v>0</v>
      </c>
      <c r="R154" t="s">
        <v>60</v>
      </c>
      <c r="S154" t="s">
        <v>2033</v>
      </c>
      <c r="T154" t="s">
        <v>2043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>
        <f t="shared" si="8"/>
        <v>93</v>
      </c>
      <c r="G155" s="4" t="s">
        <v>14</v>
      </c>
      <c r="H155">
        <v>5681</v>
      </c>
      <c r="I155">
        <f t="shared" si="9"/>
        <v>31</v>
      </c>
      <c r="J155" t="s">
        <v>21</v>
      </c>
      <c r="K155" t="s">
        <v>22</v>
      </c>
      <c r="L155">
        <v>1350622800</v>
      </c>
      <c r="M155">
        <v>1351141200</v>
      </c>
      <c r="N155" s="19">
        <f t="shared" si="10"/>
        <v>41201.208333333336</v>
      </c>
      <c r="O155" s="19">
        <f t="shared" si="11"/>
        <v>41207.208333333336</v>
      </c>
      <c r="P155" t="b">
        <v>0</v>
      </c>
      <c r="Q155" t="b">
        <v>0</v>
      </c>
      <c r="R155" t="s">
        <v>33</v>
      </c>
      <c r="S155" t="s">
        <v>2037</v>
      </c>
      <c r="T155" t="s">
        <v>2038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>
        <f t="shared" si="8"/>
        <v>59</v>
      </c>
      <c r="G156" s="4" t="s">
        <v>14</v>
      </c>
      <c r="H156">
        <v>1059</v>
      </c>
      <c r="I156">
        <f t="shared" si="9"/>
        <v>95.04</v>
      </c>
      <c r="J156" t="s">
        <v>21</v>
      </c>
      <c r="K156" t="s">
        <v>22</v>
      </c>
      <c r="L156">
        <v>1463029200</v>
      </c>
      <c r="M156">
        <v>1465016400</v>
      </c>
      <c r="N156" s="19">
        <f t="shared" si="10"/>
        <v>42502.208333333328</v>
      </c>
      <c r="O156" s="19">
        <f t="shared" si="11"/>
        <v>42525.208333333328</v>
      </c>
      <c r="P156" t="b">
        <v>0</v>
      </c>
      <c r="Q156" t="b">
        <v>1</v>
      </c>
      <c r="R156" t="s">
        <v>60</v>
      </c>
      <c r="S156" t="s">
        <v>2033</v>
      </c>
      <c r="T156" t="s">
        <v>2043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>
        <f t="shared" si="8"/>
        <v>65</v>
      </c>
      <c r="G157" s="4" t="s">
        <v>14</v>
      </c>
      <c r="H157">
        <v>1194</v>
      </c>
      <c r="I157">
        <f t="shared" si="9"/>
        <v>75.97</v>
      </c>
      <c r="J157" t="s">
        <v>21</v>
      </c>
      <c r="K157" t="s">
        <v>22</v>
      </c>
      <c r="L157">
        <v>1269493200</v>
      </c>
      <c r="M157">
        <v>1270789200</v>
      </c>
      <c r="N157" s="19">
        <f t="shared" si="10"/>
        <v>40262.208333333336</v>
      </c>
      <c r="O157" s="19">
        <f t="shared" si="11"/>
        <v>40277.208333333336</v>
      </c>
      <c r="P157" t="b">
        <v>0</v>
      </c>
      <c r="Q157" t="b">
        <v>0</v>
      </c>
      <c r="R157" t="s">
        <v>33</v>
      </c>
      <c r="S157" t="s">
        <v>2037</v>
      </c>
      <c r="T157" t="s">
        <v>2038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>
        <f t="shared" si="8"/>
        <v>74</v>
      </c>
      <c r="G158" s="7" t="s">
        <v>74</v>
      </c>
      <c r="H158">
        <v>379</v>
      </c>
      <c r="I158">
        <f t="shared" si="9"/>
        <v>71.010000000000005</v>
      </c>
      <c r="J158" t="s">
        <v>26</v>
      </c>
      <c r="K158" t="s">
        <v>27</v>
      </c>
      <c r="L158">
        <v>1570251600</v>
      </c>
      <c r="M158">
        <v>1572325200</v>
      </c>
      <c r="N158" s="19">
        <f t="shared" si="10"/>
        <v>43743.208333333328</v>
      </c>
      <c r="O158" s="19">
        <f t="shared" si="11"/>
        <v>43767.208333333328</v>
      </c>
      <c r="P158" t="b">
        <v>0</v>
      </c>
      <c r="Q158" t="b">
        <v>0</v>
      </c>
      <c r="R158" t="s">
        <v>23</v>
      </c>
      <c r="S158" t="s">
        <v>2033</v>
      </c>
      <c r="T158" t="s">
        <v>2034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>
        <f t="shared" si="8"/>
        <v>53</v>
      </c>
      <c r="G159" s="4" t="s">
        <v>14</v>
      </c>
      <c r="H159">
        <v>30</v>
      </c>
      <c r="I159">
        <f t="shared" si="9"/>
        <v>73.73</v>
      </c>
      <c r="J159" t="s">
        <v>26</v>
      </c>
      <c r="K159" t="s">
        <v>27</v>
      </c>
      <c r="L159">
        <v>1388383200</v>
      </c>
      <c r="M159">
        <v>1389420000</v>
      </c>
      <c r="N159" s="19">
        <f t="shared" si="10"/>
        <v>41638.25</v>
      </c>
      <c r="O159" s="19">
        <f t="shared" si="11"/>
        <v>41650.25</v>
      </c>
      <c r="P159" t="b">
        <v>0</v>
      </c>
      <c r="Q159" t="b">
        <v>0</v>
      </c>
      <c r="R159" t="s">
        <v>122</v>
      </c>
      <c r="S159" t="s">
        <v>2052</v>
      </c>
      <c r="T159" t="s">
        <v>2053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>
        <f t="shared" si="8"/>
        <v>221</v>
      </c>
      <c r="G160" s="5" t="s">
        <v>20</v>
      </c>
      <c r="H160">
        <v>41</v>
      </c>
      <c r="I160">
        <f t="shared" si="9"/>
        <v>113.17</v>
      </c>
      <c r="J160" t="s">
        <v>21</v>
      </c>
      <c r="K160" t="s">
        <v>22</v>
      </c>
      <c r="L160">
        <v>1449554400</v>
      </c>
      <c r="M160">
        <v>1449640800</v>
      </c>
      <c r="N160" s="19">
        <f t="shared" si="10"/>
        <v>42346.25</v>
      </c>
      <c r="O160" s="19">
        <f t="shared" si="11"/>
        <v>42347.25</v>
      </c>
      <c r="P160" t="b">
        <v>0</v>
      </c>
      <c r="Q160" t="b">
        <v>0</v>
      </c>
      <c r="R160" t="s">
        <v>23</v>
      </c>
      <c r="S160" t="s">
        <v>2033</v>
      </c>
      <c r="T160" t="s">
        <v>2034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>
        <f t="shared" si="8"/>
        <v>100</v>
      </c>
      <c r="G161" s="5" t="s">
        <v>20</v>
      </c>
      <c r="H161">
        <v>1821</v>
      </c>
      <c r="I161">
        <f t="shared" si="9"/>
        <v>105.01</v>
      </c>
      <c r="J161" t="s">
        <v>21</v>
      </c>
      <c r="K161" t="s">
        <v>22</v>
      </c>
      <c r="L161">
        <v>1553662800</v>
      </c>
      <c r="M161">
        <v>1555218000</v>
      </c>
      <c r="N161" s="19">
        <f t="shared" si="10"/>
        <v>43551.208333333328</v>
      </c>
      <c r="O161" s="19">
        <f t="shared" si="11"/>
        <v>43569.208333333328</v>
      </c>
      <c r="P161" t="b">
        <v>0</v>
      </c>
      <c r="Q161" t="b">
        <v>1</v>
      </c>
      <c r="R161" t="s">
        <v>33</v>
      </c>
      <c r="S161" t="s">
        <v>2037</v>
      </c>
      <c r="T161" t="s">
        <v>2038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>
        <f t="shared" si="8"/>
        <v>162</v>
      </c>
      <c r="G162" s="5" t="s">
        <v>20</v>
      </c>
      <c r="H162">
        <v>164</v>
      </c>
      <c r="I162">
        <f t="shared" si="9"/>
        <v>79.180000000000007</v>
      </c>
      <c r="J162" t="s">
        <v>21</v>
      </c>
      <c r="K162" t="s">
        <v>22</v>
      </c>
      <c r="L162">
        <v>1556341200</v>
      </c>
      <c r="M162">
        <v>1557723600</v>
      </c>
      <c r="N162" s="19">
        <f t="shared" si="10"/>
        <v>43582.208333333328</v>
      </c>
      <c r="O162" s="19">
        <f t="shared" si="11"/>
        <v>43598.208333333328</v>
      </c>
      <c r="P162" t="b">
        <v>0</v>
      </c>
      <c r="Q162" t="b">
        <v>0</v>
      </c>
      <c r="R162" t="s">
        <v>65</v>
      </c>
      <c r="S162" t="s">
        <v>2035</v>
      </c>
      <c r="T162" t="s">
        <v>2044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>
        <f t="shared" si="8"/>
        <v>78</v>
      </c>
      <c r="G163" s="4" t="s">
        <v>14</v>
      </c>
      <c r="H163">
        <v>75</v>
      </c>
      <c r="I163">
        <f t="shared" si="9"/>
        <v>57.33</v>
      </c>
      <c r="J163" t="s">
        <v>21</v>
      </c>
      <c r="K163" t="s">
        <v>22</v>
      </c>
      <c r="L163">
        <v>1442984400</v>
      </c>
      <c r="M163">
        <v>1443502800</v>
      </c>
      <c r="N163" s="19">
        <f t="shared" si="10"/>
        <v>42270.208333333328</v>
      </c>
      <c r="O163" s="19">
        <f t="shared" si="11"/>
        <v>42276.208333333328</v>
      </c>
      <c r="P163" t="b">
        <v>0</v>
      </c>
      <c r="Q163" t="b">
        <v>1</v>
      </c>
      <c r="R163" t="s">
        <v>28</v>
      </c>
      <c r="S163" t="s">
        <v>2035</v>
      </c>
      <c r="T163" t="s">
        <v>2036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>
        <f t="shared" si="8"/>
        <v>150</v>
      </c>
      <c r="G164" s="5" t="s">
        <v>20</v>
      </c>
      <c r="H164">
        <v>157</v>
      </c>
      <c r="I164">
        <f t="shared" si="9"/>
        <v>58.18</v>
      </c>
      <c r="J164" t="s">
        <v>98</v>
      </c>
      <c r="K164" t="s">
        <v>99</v>
      </c>
      <c r="L164">
        <v>1544248800</v>
      </c>
      <c r="M164">
        <v>1546840800</v>
      </c>
      <c r="N164" s="19">
        <f t="shared" si="10"/>
        <v>43442.25</v>
      </c>
      <c r="O164" s="19">
        <f t="shared" si="11"/>
        <v>43472.25</v>
      </c>
      <c r="P164" t="b">
        <v>0</v>
      </c>
      <c r="Q164" t="b">
        <v>0</v>
      </c>
      <c r="R164" t="s">
        <v>23</v>
      </c>
      <c r="S164" t="s">
        <v>2033</v>
      </c>
      <c r="T164" t="s">
        <v>2034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>
        <f t="shared" si="8"/>
        <v>253</v>
      </c>
      <c r="G165" s="5" t="s">
        <v>20</v>
      </c>
      <c r="H165">
        <v>246</v>
      </c>
      <c r="I165">
        <f t="shared" si="9"/>
        <v>36.03</v>
      </c>
      <c r="J165" t="s">
        <v>21</v>
      </c>
      <c r="K165" t="s">
        <v>22</v>
      </c>
      <c r="L165">
        <v>1508475600</v>
      </c>
      <c r="M165">
        <v>1512712800</v>
      </c>
      <c r="N165" s="19">
        <f t="shared" si="10"/>
        <v>43028.208333333328</v>
      </c>
      <c r="O165" s="19">
        <f t="shared" si="11"/>
        <v>43077.25</v>
      </c>
      <c r="P165" t="b">
        <v>0</v>
      </c>
      <c r="Q165" t="b">
        <v>1</v>
      </c>
      <c r="R165" t="s">
        <v>122</v>
      </c>
      <c r="S165" t="s">
        <v>2052</v>
      </c>
      <c r="T165" t="s">
        <v>2053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>
        <f t="shared" si="8"/>
        <v>100</v>
      </c>
      <c r="G166" s="5" t="s">
        <v>20</v>
      </c>
      <c r="H166">
        <v>1396</v>
      </c>
      <c r="I166">
        <f t="shared" si="9"/>
        <v>107.99</v>
      </c>
      <c r="J166" t="s">
        <v>21</v>
      </c>
      <c r="K166" t="s">
        <v>22</v>
      </c>
      <c r="L166">
        <v>1507438800</v>
      </c>
      <c r="M166">
        <v>1507525200</v>
      </c>
      <c r="N166" s="19">
        <f t="shared" si="10"/>
        <v>43016.208333333328</v>
      </c>
      <c r="O166" s="19">
        <f t="shared" si="11"/>
        <v>43017.208333333328</v>
      </c>
      <c r="P166" t="b">
        <v>0</v>
      </c>
      <c r="Q166" t="b">
        <v>0</v>
      </c>
      <c r="R166" t="s">
        <v>33</v>
      </c>
      <c r="S166" t="s">
        <v>2037</v>
      </c>
      <c r="T166" t="s">
        <v>2038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>
        <f t="shared" si="8"/>
        <v>122</v>
      </c>
      <c r="G167" s="5" t="s">
        <v>20</v>
      </c>
      <c r="H167">
        <v>2506</v>
      </c>
      <c r="I167">
        <f t="shared" si="9"/>
        <v>44.01</v>
      </c>
      <c r="J167" t="s">
        <v>21</v>
      </c>
      <c r="K167" t="s">
        <v>22</v>
      </c>
      <c r="L167">
        <v>1501563600</v>
      </c>
      <c r="M167">
        <v>1504328400</v>
      </c>
      <c r="N167" s="19">
        <f t="shared" si="10"/>
        <v>42948.208333333328</v>
      </c>
      <c r="O167" s="19">
        <f t="shared" si="11"/>
        <v>42980.208333333328</v>
      </c>
      <c r="P167" t="b">
        <v>0</v>
      </c>
      <c r="Q167" t="b">
        <v>0</v>
      </c>
      <c r="R167" t="s">
        <v>28</v>
      </c>
      <c r="S167" t="s">
        <v>2035</v>
      </c>
      <c r="T167" t="s">
        <v>2036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>
        <f t="shared" si="8"/>
        <v>137</v>
      </c>
      <c r="G168" s="5" t="s">
        <v>20</v>
      </c>
      <c r="H168">
        <v>244</v>
      </c>
      <c r="I168">
        <f t="shared" si="9"/>
        <v>55.08</v>
      </c>
      <c r="J168" t="s">
        <v>21</v>
      </c>
      <c r="K168" t="s">
        <v>22</v>
      </c>
      <c r="L168">
        <v>1292997600</v>
      </c>
      <c r="M168">
        <v>1293343200</v>
      </c>
      <c r="N168" s="19">
        <f t="shared" si="10"/>
        <v>40534.25</v>
      </c>
      <c r="O168" s="19">
        <f t="shared" si="11"/>
        <v>40538.25</v>
      </c>
      <c r="P168" t="b">
        <v>0</v>
      </c>
      <c r="Q168" t="b">
        <v>0</v>
      </c>
      <c r="R168" t="s">
        <v>122</v>
      </c>
      <c r="S168" t="s">
        <v>2052</v>
      </c>
      <c r="T168" t="s">
        <v>2053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>
        <f t="shared" si="8"/>
        <v>416</v>
      </c>
      <c r="G169" s="5" t="s">
        <v>20</v>
      </c>
      <c r="H169">
        <v>146</v>
      </c>
      <c r="I169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19">
        <f t="shared" si="10"/>
        <v>41435.208333333336</v>
      </c>
      <c r="O169" s="19">
        <f t="shared" si="11"/>
        <v>41445.208333333336</v>
      </c>
      <c r="P169" t="b">
        <v>0</v>
      </c>
      <c r="Q169" t="b">
        <v>0</v>
      </c>
      <c r="R169" t="s">
        <v>33</v>
      </c>
      <c r="S169" t="s">
        <v>2037</v>
      </c>
      <c r="T169" t="s">
        <v>2038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>
        <f t="shared" si="8"/>
        <v>31</v>
      </c>
      <c r="G170" s="4" t="s">
        <v>14</v>
      </c>
      <c r="H170">
        <v>955</v>
      </c>
      <c r="I170">
        <f t="shared" si="9"/>
        <v>42</v>
      </c>
      <c r="J170" t="s">
        <v>36</v>
      </c>
      <c r="K170" t="s">
        <v>37</v>
      </c>
      <c r="L170">
        <v>1550815200</v>
      </c>
      <c r="M170">
        <v>1552798800</v>
      </c>
      <c r="N170" s="19">
        <f t="shared" si="10"/>
        <v>43518.25</v>
      </c>
      <c r="O170" s="19">
        <f t="shared" si="11"/>
        <v>43541.208333333328</v>
      </c>
      <c r="P170" t="b">
        <v>0</v>
      </c>
      <c r="Q170" t="b">
        <v>1</v>
      </c>
      <c r="R170" t="s">
        <v>60</v>
      </c>
      <c r="S170" t="s">
        <v>2033</v>
      </c>
      <c r="T170" t="s">
        <v>2043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>
        <f t="shared" si="8"/>
        <v>424</v>
      </c>
      <c r="G171" s="5" t="s">
        <v>20</v>
      </c>
      <c r="H171">
        <v>1267</v>
      </c>
      <c r="I171">
        <f t="shared" si="9"/>
        <v>77.989999999999995</v>
      </c>
      <c r="J171" t="s">
        <v>21</v>
      </c>
      <c r="K171" t="s">
        <v>22</v>
      </c>
      <c r="L171">
        <v>1339909200</v>
      </c>
      <c r="M171">
        <v>1342328400</v>
      </c>
      <c r="N171" s="19">
        <f t="shared" si="10"/>
        <v>41077.208333333336</v>
      </c>
      <c r="O171" s="19">
        <f t="shared" si="11"/>
        <v>41105.208333333336</v>
      </c>
      <c r="P171" t="b">
        <v>0</v>
      </c>
      <c r="Q171" t="b">
        <v>1</v>
      </c>
      <c r="R171" t="s">
        <v>100</v>
      </c>
      <c r="S171" t="s">
        <v>2039</v>
      </c>
      <c r="T171" t="s">
        <v>2050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>
        <f t="shared" si="8"/>
        <v>3</v>
      </c>
      <c r="G172" s="4" t="s">
        <v>14</v>
      </c>
      <c r="H172">
        <v>67</v>
      </c>
      <c r="I172">
        <f t="shared" si="9"/>
        <v>82.51</v>
      </c>
      <c r="J172" t="s">
        <v>21</v>
      </c>
      <c r="K172" t="s">
        <v>22</v>
      </c>
      <c r="L172">
        <v>1501736400</v>
      </c>
      <c r="M172">
        <v>1502341200</v>
      </c>
      <c r="N172" s="19">
        <f t="shared" si="10"/>
        <v>42950.208333333328</v>
      </c>
      <c r="O172" s="19">
        <f t="shared" si="11"/>
        <v>42957.208333333328</v>
      </c>
      <c r="P172" t="b">
        <v>0</v>
      </c>
      <c r="Q172" t="b">
        <v>0</v>
      </c>
      <c r="R172" t="s">
        <v>60</v>
      </c>
      <c r="S172" t="s">
        <v>2033</v>
      </c>
      <c r="T172" t="s">
        <v>2043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>
        <f t="shared" si="8"/>
        <v>11</v>
      </c>
      <c r="G173" s="4" t="s">
        <v>14</v>
      </c>
      <c r="H173">
        <v>5</v>
      </c>
      <c r="I173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19">
        <f t="shared" si="10"/>
        <v>41718.208333333336</v>
      </c>
      <c r="O173" s="19">
        <f t="shared" si="11"/>
        <v>41740.208333333336</v>
      </c>
      <c r="P173" t="b">
        <v>0</v>
      </c>
      <c r="Q173" t="b">
        <v>0</v>
      </c>
      <c r="R173" t="s">
        <v>206</v>
      </c>
      <c r="S173" t="s">
        <v>2045</v>
      </c>
      <c r="T173" t="s">
        <v>2057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>
        <f t="shared" si="8"/>
        <v>83</v>
      </c>
      <c r="G174" s="4" t="s">
        <v>14</v>
      </c>
      <c r="H174">
        <v>26</v>
      </c>
      <c r="I174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19">
        <f t="shared" si="10"/>
        <v>41839.208333333336</v>
      </c>
      <c r="O174" s="19">
        <f t="shared" si="11"/>
        <v>41854.208333333336</v>
      </c>
      <c r="P174" t="b">
        <v>0</v>
      </c>
      <c r="Q174" t="b">
        <v>1</v>
      </c>
      <c r="R174" t="s">
        <v>42</v>
      </c>
      <c r="S174" t="s">
        <v>2039</v>
      </c>
      <c r="T174" t="s">
        <v>2040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>
        <f t="shared" si="8"/>
        <v>163</v>
      </c>
      <c r="G175" s="5" t="s">
        <v>20</v>
      </c>
      <c r="H175">
        <v>1561</v>
      </c>
      <c r="I175">
        <f t="shared" si="9"/>
        <v>100.98</v>
      </c>
      <c r="J175" t="s">
        <v>21</v>
      </c>
      <c r="K175" t="s">
        <v>22</v>
      </c>
      <c r="L175">
        <v>1368853200</v>
      </c>
      <c r="M175">
        <v>1369371600</v>
      </c>
      <c r="N175" s="19">
        <f t="shared" si="10"/>
        <v>41412.208333333336</v>
      </c>
      <c r="O175" s="19">
        <f t="shared" si="11"/>
        <v>41418.208333333336</v>
      </c>
      <c r="P175" t="b">
        <v>0</v>
      </c>
      <c r="Q175" t="b">
        <v>0</v>
      </c>
      <c r="R175" t="s">
        <v>33</v>
      </c>
      <c r="S175" t="s">
        <v>2037</v>
      </c>
      <c r="T175" t="s">
        <v>2038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>
        <f t="shared" si="8"/>
        <v>895</v>
      </c>
      <c r="G176" s="5" t="s">
        <v>20</v>
      </c>
      <c r="H176">
        <v>48</v>
      </c>
      <c r="I176">
        <f t="shared" si="9"/>
        <v>111.83</v>
      </c>
      <c r="J176" t="s">
        <v>21</v>
      </c>
      <c r="K176" t="s">
        <v>22</v>
      </c>
      <c r="L176">
        <v>1444021200</v>
      </c>
      <c r="M176">
        <v>1444107600</v>
      </c>
      <c r="N176" s="19">
        <f t="shared" si="10"/>
        <v>42282.208333333328</v>
      </c>
      <c r="O176" s="19">
        <f t="shared" si="11"/>
        <v>42283.208333333328</v>
      </c>
      <c r="P176" t="b">
        <v>0</v>
      </c>
      <c r="Q176" t="b">
        <v>1</v>
      </c>
      <c r="R176" t="s">
        <v>65</v>
      </c>
      <c r="S176" t="s">
        <v>2035</v>
      </c>
      <c r="T176" t="s">
        <v>2044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>
        <f t="shared" si="8"/>
        <v>26</v>
      </c>
      <c r="G177" s="4" t="s">
        <v>14</v>
      </c>
      <c r="H177">
        <v>1130</v>
      </c>
      <c r="I177">
        <f t="shared" si="9"/>
        <v>42</v>
      </c>
      <c r="J177" t="s">
        <v>21</v>
      </c>
      <c r="K177" t="s">
        <v>22</v>
      </c>
      <c r="L177">
        <v>1472619600</v>
      </c>
      <c r="M177">
        <v>1474261200</v>
      </c>
      <c r="N177" s="19">
        <f t="shared" si="10"/>
        <v>42613.208333333328</v>
      </c>
      <c r="O177" s="19">
        <f t="shared" si="11"/>
        <v>42632.208333333328</v>
      </c>
      <c r="P177" t="b">
        <v>0</v>
      </c>
      <c r="Q177" t="b">
        <v>0</v>
      </c>
      <c r="R177" t="s">
        <v>33</v>
      </c>
      <c r="S177" t="s">
        <v>2037</v>
      </c>
      <c r="T177" t="s">
        <v>2038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>
        <f t="shared" si="8"/>
        <v>75</v>
      </c>
      <c r="G178" s="4" t="s">
        <v>14</v>
      </c>
      <c r="H178">
        <v>782</v>
      </c>
      <c r="I178">
        <f t="shared" si="9"/>
        <v>110.05</v>
      </c>
      <c r="J178" t="s">
        <v>21</v>
      </c>
      <c r="K178" t="s">
        <v>22</v>
      </c>
      <c r="L178">
        <v>1472878800</v>
      </c>
      <c r="M178">
        <v>1473656400</v>
      </c>
      <c r="N178" s="19">
        <f t="shared" si="10"/>
        <v>42616.208333333328</v>
      </c>
      <c r="O178" s="19">
        <f t="shared" si="11"/>
        <v>42625.208333333328</v>
      </c>
      <c r="P178" t="b">
        <v>0</v>
      </c>
      <c r="Q178" t="b">
        <v>0</v>
      </c>
      <c r="R178" t="s">
        <v>33</v>
      </c>
      <c r="S178" t="s">
        <v>2037</v>
      </c>
      <c r="T178" t="s">
        <v>2038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>
        <f t="shared" si="8"/>
        <v>416</v>
      </c>
      <c r="G179" s="5" t="s">
        <v>20</v>
      </c>
      <c r="H179">
        <v>2739</v>
      </c>
      <c r="I179">
        <f t="shared" si="9"/>
        <v>59</v>
      </c>
      <c r="J179" t="s">
        <v>21</v>
      </c>
      <c r="K179" t="s">
        <v>22</v>
      </c>
      <c r="L179">
        <v>1289800800</v>
      </c>
      <c r="M179">
        <v>1291960800</v>
      </c>
      <c r="N179" s="19">
        <f t="shared" si="10"/>
        <v>40497.25</v>
      </c>
      <c r="O179" s="19">
        <f t="shared" si="11"/>
        <v>40522.25</v>
      </c>
      <c r="P179" t="b">
        <v>0</v>
      </c>
      <c r="Q179" t="b">
        <v>0</v>
      </c>
      <c r="R179" t="s">
        <v>33</v>
      </c>
      <c r="S179" t="s">
        <v>2037</v>
      </c>
      <c r="T179" t="s">
        <v>2038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>
        <f t="shared" si="8"/>
        <v>96</v>
      </c>
      <c r="G180" s="4" t="s">
        <v>14</v>
      </c>
      <c r="H180">
        <v>210</v>
      </c>
      <c r="I180">
        <f t="shared" si="9"/>
        <v>32.99</v>
      </c>
      <c r="J180" t="s">
        <v>21</v>
      </c>
      <c r="K180" t="s">
        <v>22</v>
      </c>
      <c r="L180">
        <v>1505970000</v>
      </c>
      <c r="M180">
        <v>1506747600</v>
      </c>
      <c r="N180" s="19">
        <f t="shared" si="10"/>
        <v>42999.208333333328</v>
      </c>
      <c r="O180" s="19">
        <f t="shared" si="11"/>
        <v>43008.208333333328</v>
      </c>
      <c r="P180" t="b">
        <v>0</v>
      </c>
      <c r="Q180" t="b">
        <v>0</v>
      </c>
      <c r="R180" t="s">
        <v>17</v>
      </c>
      <c r="S180" t="s">
        <v>2031</v>
      </c>
      <c r="T180" t="s">
        <v>2032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>
        <f t="shared" si="8"/>
        <v>358</v>
      </c>
      <c r="G181" s="5" t="s">
        <v>20</v>
      </c>
      <c r="H181">
        <v>3537</v>
      </c>
      <c r="I181">
        <f t="shared" si="9"/>
        <v>45.01</v>
      </c>
      <c r="J181" t="s">
        <v>15</v>
      </c>
      <c r="K181" t="s">
        <v>16</v>
      </c>
      <c r="L181">
        <v>1363496400</v>
      </c>
      <c r="M181">
        <v>1363582800</v>
      </c>
      <c r="N181" s="19">
        <f t="shared" si="10"/>
        <v>41350.208333333336</v>
      </c>
      <c r="O181" s="19">
        <f t="shared" si="11"/>
        <v>41351.208333333336</v>
      </c>
      <c r="P181" t="b">
        <v>0</v>
      </c>
      <c r="Q181" t="b">
        <v>1</v>
      </c>
      <c r="R181" t="s">
        <v>33</v>
      </c>
      <c r="S181" t="s">
        <v>2037</v>
      </c>
      <c r="T181" t="s">
        <v>2038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>
        <f t="shared" si="8"/>
        <v>308</v>
      </c>
      <c r="G182" s="5" t="s">
        <v>20</v>
      </c>
      <c r="H182">
        <v>2107</v>
      </c>
      <c r="I182">
        <f t="shared" si="9"/>
        <v>81.98</v>
      </c>
      <c r="J182" t="s">
        <v>26</v>
      </c>
      <c r="K182" t="s">
        <v>27</v>
      </c>
      <c r="L182">
        <v>1269234000</v>
      </c>
      <c r="M182">
        <v>1269666000</v>
      </c>
      <c r="N182" s="19">
        <f t="shared" si="10"/>
        <v>40259.208333333336</v>
      </c>
      <c r="O182" s="19">
        <f t="shared" si="11"/>
        <v>40264.208333333336</v>
      </c>
      <c r="P182" t="b">
        <v>0</v>
      </c>
      <c r="Q182" t="b">
        <v>0</v>
      </c>
      <c r="R182" t="s">
        <v>65</v>
      </c>
      <c r="S182" t="s">
        <v>2035</v>
      </c>
      <c r="T182" t="s">
        <v>2044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>
        <f t="shared" si="8"/>
        <v>62</v>
      </c>
      <c r="G183" s="4" t="s">
        <v>14</v>
      </c>
      <c r="H183">
        <v>136</v>
      </c>
      <c r="I183">
        <f t="shared" si="9"/>
        <v>39.08</v>
      </c>
      <c r="J183" t="s">
        <v>21</v>
      </c>
      <c r="K183" t="s">
        <v>22</v>
      </c>
      <c r="L183">
        <v>1507093200</v>
      </c>
      <c r="M183">
        <v>1508648400</v>
      </c>
      <c r="N183" s="19">
        <f t="shared" si="10"/>
        <v>43012.208333333328</v>
      </c>
      <c r="O183" s="19">
        <f t="shared" si="11"/>
        <v>43030.208333333328</v>
      </c>
      <c r="P183" t="b">
        <v>0</v>
      </c>
      <c r="Q183" t="b">
        <v>0</v>
      </c>
      <c r="R183" t="s">
        <v>28</v>
      </c>
      <c r="S183" t="s">
        <v>2035</v>
      </c>
      <c r="T183" t="s">
        <v>2036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>
        <f t="shared" si="8"/>
        <v>722</v>
      </c>
      <c r="G184" s="5" t="s">
        <v>20</v>
      </c>
      <c r="H184">
        <v>3318</v>
      </c>
      <c r="I184">
        <f t="shared" si="9"/>
        <v>59</v>
      </c>
      <c r="J184" t="s">
        <v>36</v>
      </c>
      <c r="K184" t="s">
        <v>37</v>
      </c>
      <c r="L184">
        <v>1560574800</v>
      </c>
      <c r="M184">
        <v>1561957200</v>
      </c>
      <c r="N184" s="19">
        <f t="shared" si="10"/>
        <v>43631.208333333328</v>
      </c>
      <c r="O184" s="19">
        <f t="shared" si="11"/>
        <v>43647.208333333328</v>
      </c>
      <c r="P184" t="b">
        <v>0</v>
      </c>
      <c r="Q184" t="b">
        <v>0</v>
      </c>
      <c r="R184" t="s">
        <v>33</v>
      </c>
      <c r="S184" t="s">
        <v>2037</v>
      </c>
      <c r="T184" t="s">
        <v>2038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>
        <f t="shared" si="8"/>
        <v>69</v>
      </c>
      <c r="G185" s="4" t="s">
        <v>14</v>
      </c>
      <c r="H185">
        <v>86</v>
      </c>
      <c r="I185">
        <f t="shared" si="9"/>
        <v>40.99</v>
      </c>
      <c r="J185" t="s">
        <v>15</v>
      </c>
      <c r="K185" t="s">
        <v>16</v>
      </c>
      <c r="L185">
        <v>1284008400</v>
      </c>
      <c r="M185">
        <v>1285131600</v>
      </c>
      <c r="N185" s="19">
        <f t="shared" si="10"/>
        <v>40430.208333333336</v>
      </c>
      <c r="O185" s="19">
        <f t="shared" si="11"/>
        <v>40443.208333333336</v>
      </c>
      <c r="P185" t="b">
        <v>0</v>
      </c>
      <c r="Q185" t="b">
        <v>0</v>
      </c>
      <c r="R185" t="s">
        <v>23</v>
      </c>
      <c r="S185" t="s">
        <v>2033</v>
      </c>
      <c r="T185" t="s">
        <v>2034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>
        <f t="shared" si="8"/>
        <v>293</v>
      </c>
      <c r="G186" s="5" t="s">
        <v>20</v>
      </c>
      <c r="H186">
        <v>340</v>
      </c>
      <c r="I186">
        <f t="shared" si="9"/>
        <v>31.03</v>
      </c>
      <c r="J186" t="s">
        <v>21</v>
      </c>
      <c r="K186" t="s">
        <v>22</v>
      </c>
      <c r="L186">
        <v>1556859600</v>
      </c>
      <c r="M186">
        <v>1556946000</v>
      </c>
      <c r="N186" s="19">
        <f t="shared" si="10"/>
        <v>43588.208333333328</v>
      </c>
      <c r="O186" s="19">
        <f t="shared" si="11"/>
        <v>43589.208333333328</v>
      </c>
      <c r="P186" t="b">
        <v>0</v>
      </c>
      <c r="Q186" t="b">
        <v>0</v>
      </c>
      <c r="R186" t="s">
        <v>33</v>
      </c>
      <c r="S186" t="s">
        <v>2037</v>
      </c>
      <c r="T186" t="s">
        <v>2038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>
        <f t="shared" si="8"/>
        <v>72</v>
      </c>
      <c r="G187" s="4" t="s">
        <v>14</v>
      </c>
      <c r="H187">
        <v>19</v>
      </c>
      <c r="I187">
        <f t="shared" si="9"/>
        <v>37.79</v>
      </c>
      <c r="J187" t="s">
        <v>21</v>
      </c>
      <c r="K187" t="s">
        <v>22</v>
      </c>
      <c r="L187">
        <v>1526187600</v>
      </c>
      <c r="M187">
        <v>1527138000</v>
      </c>
      <c r="N187" s="19">
        <f t="shared" si="10"/>
        <v>43233.208333333328</v>
      </c>
      <c r="O187" s="19">
        <f t="shared" si="11"/>
        <v>43244.208333333328</v>
      </c>
      <c r="P187" t="b">
        <v>0</v>
      </c>
      <c r="Q187" t="b">
        <v>0</v>
      </c>
      <c r="R187" t="s">
        <v>269</v>
      </c>
      <c r="S187" t="s">
        <v>2039</v>
      </c>
      <c r="T187" t="s">
        <v>2058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>
        <f t="shared" si="8"/>
        <v>32</v>
      </c>
      <c r="G188" s="4" t="s">
        <v>14</v>
      </c>
      <c r="H188">
        <v>886</v>
      </c>
      <c r="I188">
        <f t="shared" si="9"/>
        <v>32.01</v>
      </c>
      <c r="J188" t="s">
        <v>21</v>
      </c>
      <c r="K188" t="s">
        <v>22</v>
      </c>
      <c r="L188">
        <v>1400821200</v>
      </c>
      <c r="M188">
        <v>1402117200</v>
      </c>
      <c r="N188" s="19">
        <f t="shared" si="10"/>
        <v>41782.208333333336</v>
      </c>
      <c r="O188" s="19">
        <f t="shared" si="11"/>
        <v>41797.208333333336</v>
      </c>
      <c r="P188" t="b">
        <v>0</v>
      </c>
      <c r="Q188" t="b">
        <v>0</v>
      </c>
      <c r="R188" t="s">
        <v>33</v>
      </c>
      <c r="S188" t="s">
        <v>2037</v>
      </c>
      <c r="T188" t="s">
        <v>2038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>
        <f t="shared" si="8"/>
        <v>230</v>
      </c>
      <c r="G189" s="5" t="s">
        <v>20</v>
      </c>
      <c r="H189">
        <v>1442</v>
      </c>
      <c r="I189">
        <f t="shared" si="9"/>
        <v>95.97</v>
      </c>
      <c r="J189" t="s">
        <v>15</v>
      </c>
      <c r="K189" t="s">
        <v>16</v>
      </c>
      <c r="L189">
        <v>1361599200</v>
      </c>
      <c r="M189">
        <v>1364014800</v>
      </c>
      <c r="N189" s="19">
        <f t="shared" si="10"/>
        <v>41328.25</v>
      </c>
      <c r="O189" s="19">
        <f t="shared" si="11"/>
        <v>41356.208333333336</v>
      </c>
      <c r="P189" t="b">
        <v>0</v>
      </c>
      <c r="Q189" t="b">
        <v>1</v>
      </c>
      <c r="R189" t="s">
        <v>100</v>
      </c>
      <c r="S189" t="s">
        <v>2039</v>
      </c>
      <c r="T189" t="s">
        <v>2050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>
        <f t="shared" si="8"/>
        <v>32</v>
      </c>
      <c r="G190" s="4" t="s">
        <v>14</v>
      </c>
      <c r="H190">
        <v>35</v>
      </c>
      <c r="I190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s="19">
        <f t="shared" si="10"/>
        <v>41975.25</v>
      </c>
      <c r="O190" s="19">
        <f t="shared" si="11"/>
        <v>41976.25</v>
      </c>
      <c r="P190" t="b">
        <v>0</v>
      </c>
      <c r="Q190" t="b">
        <v>0</v>
      </c>
      <c r="R190" t="s">
        <v>33</v>
      </c>
      <c r="S190" t="s">
        <v>2037</v>
      </c>
      <c r="T190" t="s">
        <v>2038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>
        <f t="shared" si="8"/>
        <v>24</v>
      </c>
      <c r="G191" s="7" t="s">
        <v>74</v>
      </c>
      <c r="H191">
        <v>441</v>
      </c>
      <c r="I191">
        <f t="shared" si="9"/>
        <v>102.05</v>
      </c>
      <c r="J191" t="s">
        <v>21</v>
      </c>
      <c r="K191" t="s">
        <v>22</v>
      </c>
      <c r="L191">
        <v>1457071200</v>
      </c>
      <c r="M191">
        <v>1457071200</v>
      </c>
      <c r="N191" s="19">
        <f t="shared" si="10"/>
        <v>42433.25</v>
      </c>
      <c r="O191" s="19">
        <f t="shared" si="11"/>
        <v>42433.25</v>
      </c>
      <c r="P191" t="b">
        <v>0</v>
      </c>
      <c r="Q191" t="b">
        <v>0</v>
      </c>
      <c r="R191" t="s">
        <v>33</v>
      </c>
      <c r="S191" t="s">
        <v>2037</v>
      </c>
      <c r="T191" t="s">
        <v>2038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>
        <f t="shared" si="8"/>
        <v>69</v>
      </c>
      <c r="G192" s="4" t="s">
        <v>14</v>
      </c>
      <c r="H192">
        <v>24</v>
      </c>
      <c r="I192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19">
        <f t="shared" si="10"/>
        <v>41429.208333333336</v>
      </c>
      <c r="O192" s="19">
        <f t="shared" si="11"/>
        <v>41430.208333333336</v>
      </c>
      <c r="P192" t="b">
        <v>0</v>
      </c>
      <c r="Q192" t="b">
        <v>1</v>
      </c>
      <c r="R192" t="s">
        <v>33</v>
      </c>
      <c r="S192" t="s">
        <v>2037</v>
      </c>
      <c r="T192" t="s">
        <v>2038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>
        <f t="shared" si="8"/>
        <v>38</v>
      </c>
      <c r="G193" s="4" t="s">
        <v>14</v>
      </c>
      <c r="H193">
        <v>86</v>
      </c>
      <c r="I193">
        <f t="shared" si="9"/>
        <v>37.07</v>
      </c>
      <c r="J193" t="s">
        <v>107</v>
      </c>
      <c r="K193" t="s">
        <v>108</v>
      </c>
      <c r="L193">
        <v>1552366800</v>
      </c>
      <c r="M193">
        <v>1552626000</v>
      </c>
      <c r="N193" s="19">
        <f t="shared" si="10"/>
        <v>43536.208333333328</v>
      </c>
      <c r="O193" s="19">
        <f t="shared" si="11"/>
        <v>43539.208333333328</v>
      </c>
      <c r="P193" t="b">
        <v>0</v>
      </c>
      <c r="Q193" t="b">
        <v>0</v>
      </c>
      <c r="R193" t="s">
        <v>33</v>
      </c>
      <c r="S193" t="s">
        <v>2037</v>
      </c>
      <c r="T193" t="s">
        <v>2038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>
        <f t="shared" si="8"/>
        <v>20</v>
      </c>
      <c r="G194" s="4" t="s">
        <v>14</v>
      </c>
      <c r="H194">
        <v>243</v>
      </c>
      <c r="I194">
        <f t="shared" si="9"/>
        <v>35.049999999999997</v>
      </c>
      <c r="J194" t="s">
        <v>21</v>
      </c>
      <c r="K194" t="s">
        <v>22</v>
      </c>
      <c r="L194">
        <v>1403845200</v>
      </c>
      <c r="M194">
        <v>1404190800</v>
      </c>
      <c r="N194" s="19">
        <f t="shared" si="10"/>
        <v>41817.208333333336</v>
      </c>
      <c r="O194" s="19">
        <f t="shared" si="11"/>
        <v>41821.208333333336</v>
      </c>
      <c r="P194" t="b">
        <v>0</v>
      </c>
      <c r="Q194" t="b">
        <v>0</v>
      </c>
      <c r="R194" t="s">
        <v>23</v>
      </c>
      <c r="S194" t="s">
        <v>2033</v>
      </c>
      <c r="T194" t="s">
        <v>2034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>
        <f t="shared" ref="F195:F258" si="12">ROUND(E195/D195*100,0)</f>
        <v>46</v>
      </c>
      <c r="G195" s="4" t="s">
        <v>14</v>
      </c>
      <c r="H195">
        <v>65</v>
      </c>
      <c r="I195">
        <f t="shared" ref="I195:I258" si="13">ROUND(E195/H195,2)</f>
        <v>46.34</v>
      </c>
      <c r="J195" t="s">
        <v>21</v>
      </c>
      <c r="K195" t="s">
        <v>22</v>
      </c>
      <c r="L195">
        <v>1523163600</v>
      </c>
      <c r="M195">
        <v>1523509200</v>
      </c>
      <c r="N195" s="19">
        <f t="shared" ref="N195:N258" si="14">(((L195/60)/60)/24)+DATE(1970,1,1)</f>
        <v>43198.208333333328</v>
      </c>
      <c r="O195" s="19">
        <f t="shared" ref="O195:O258" si="15">(((M195/60)/60)/24)+DATE(1970,1,1)</f>
        <v>43202.208333333328</v>
      </c>
      <c r="P195" t="b">
        <v>1</v>
      </c>
      <c r="Q195" t="b">
        <v>0</v>
      </c>
      <c r="R195" t="s">
        <v>60</v>
      </c>
      <c r="S195" t="s">
        <v>2033</v>
      </c>
      <c r="T195" t="s">
        <v>2043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>
        <f t="shared" si="12"/>
        <v>123</v>
      </c>
      <c r="G196" s="5" t="s">
        <v>20</v>
      </c>
      <c r="H196">
        <v>126</v>
      </c>
      <c r="I196">
        <f t="shared" si="13"/>
        <v>69.17</v>
      </c>
      <c r="J196" t="s">
        <v>21</v>
      </c>
      <c r="K196" t="s">
        <v>22</v>
      </c>
      <c r="L196">
        <v>1442206800</v>
      </c>
      <c r="M196">
        <v>1443589200</v>
      </c>
      <c r="N196" s="19">
        <f t="shared" si="14"/>
        <v>42261.208333333328</v>
      </c>
      <c r="O196" s="19">
        <f t="shared" si="15"/>
        <v>42277.208333333328</v>
      </c>
      <c r="P196" t="b">
        <v>0</v>
      </c>
      <c r="Q196" t="b">
        <v>0</v>
      </c>
      <c r="R196" t="s">
        <v>148</v>
      </c>
      <c r="S196" t="s">
        <v>2033</v>
      </c>
      <c r="T196" t="s">
        <v>2055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>
        <f t="shared" si="12"/>
        <v>362</v>
      </c>
      <c r="G197" s="5" t="s">
        <v>20</v>
      </c>
      <c r="H197">
        <v>524</v>
      </c>
      <c r="I197">
        <f t="shared" si="13"/>
        <v>109.08</v>
      </c>
      <c r="J197" t="s">
        <v>21</v>
      </c>
      <c r="K197" t="s">
        <v>22</v>
      </c>
      <c r="L197">
        <v>1532840400</v>
      </c>
      <c r="M197">
        <v>1533445200</v>
      </c>
      <c r="N197" s="19">
        <f t="shared" si="14"/>
        <v>43310.208333333328</v>
      </c>
      <c r="O197" s="19">
        <f t="shared" si="15"/>
        <v>43317.208333333328</v>
      </c>
      <c r="P197" t="b">
        <v>0</v>
      </c>
      <c r="Q197" t="b">
        <v>0</v>
      </c>
      <c r="R197" t="s">
        <v>50</v>
      </c>
      <c r="S197" t="s">
        <v>2033</v>
      </c>
      <c r="T197" t="s">
        <v>2041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>
        <f t="shared" si="12"/>
        <v>63</v>
      </c>
      <c r="G198" s="4" t="s">
        <v>14</v>
      </c>
      <c r="H198">
        <v>100</v>
      </c>
      <c r="I198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s="19">
        <f t="shared" si="14"/>
        <v>42616.208333333328</v>
      </c>
      <c r="O198" s="19">
        <f t="shared" si="15"/>
        <v>42635.208333333328</v>
      </c>
      <c r="P198" t="b">
        <v>0</v>
      </c>
      <c r="Q198" t="b">
        <v>0</v>
      </c>
      <c r="R198" t="s">
        <v>65</v>
      </c>
      <c r="S198" t="s">
        <v>2035</v>
      </c>
      <c r="T198" t="s">
        <v>2044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>
        <f t="shared" si="12"/>
        <v>298</v>
      </c>
      <c r="G199" s="5" t="s">
        <v>20</v>
      </c>
      <c r="H199">
        <v>1989</v>
      </c>
      <c r="I199">
        <f t="shared" si="13"/>
        <v>82.01</v>
      </c>
      <c r="J199" t="s">
        <v>21</v>
      </c>
      <c r="K199" t="s">
        <v>22</v>
      </c>
      <c r="L199">
        <v>1498194000</v>
      </c>
      <c r="M199">
        <v>1499403600</v>
      </c>
      <c r="N199" s="19">
        <f t="shared" si="14"/>
        <v>42909.208333333328</v>
      </c>
      <c r="O199" s="19">
        <f t="shared" si="15"/>
        <v>42923.208333333328</v>
      </c>
      <c r="P199" t="b">
        <v>0</v>
      </c>
      <c r="Q199" t="b">
        <v>0</v>
      </c>
      <c r="R199" t="s">
        <v>53</v>
      </c>
      <c r="S199" t="s">
        <v>2039</v>
      </c>
      <c r="T199" t="s">
        <v>2042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>
        <f t="shared" si="12"/>
        <v>10</v>
      </c>
      <c r="G200" s="4" t="s">
        <v>14</v>
      </c>
      <c r="H200">
        <v>168</v>
      </c>
      <c r="I200">
        <f t="shared" si="13"/>
        <v>35.96</v>
      </c>
      <c r="J200" t="s">
        <v>21</v>
      </c>
      <c r="K200" t="s">
        <v>22</v>
      </c>
      <c r="L200">
        <v>1281070800</v>
      </c>
      <c r="M200">
        <v>1283576400</v>
      </c>
      <c r="N200" s="19">
        <f t="shared" si="14"/>
        <v>40396.208333333336</v>
      </c>
      <c r="O200" s="19">
        <f t="shared" si="15"/>
        <v>40425.208333333336</v>
      </c>
      <c r="P200" t="b">
        <v>0</v>
      </c>
      <c r="Q200" t="b">
        <v>0</v>
      </c>
      <c r="R200" t="s">
        <v>50</v>
      </c>
      <c r="S200" t="s">
        <v>2033</v>
      </c>
      <c r="T200" t="s">
        <v>2041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>
        <f t="shared" si="12"/>
        <v>54</v>
      </c>
      <c r="G201" s="4" t="s">
        <v>14</v>
      </c>
      <c r="H201">
        <v>13</v>
      </c>
      <c r="I201">
        <f t="shared" si="13"/>
        <v>74.459999999999994</v>
      </c>
      <c r="J201" t="s">
        <v>21</v>
      </c>
      <c r="K201" t="s">
        <v>22</v>
      </c>
      <c r="L201">
        <v>1436245200</v>
      </c>
      <c r="M201">
        <v>1436590800</v>
      </c>
      <c r="N201" s="19">
        <f t="shared" si="14"/>
        <v>42192.208333333328</v>
      </c>
      <c r="O201" s="19">
        <f t="shared" si="15"/>
        <v>42196.208333333328</v>
      </c>
      <c r="P201" t="b">
        <v>0</v>
      </c>
      <c r="Q201" t="b">
        <v>0</v>
      </c>
      <c r="R201" t="s">
        <v>23</v>
      </c>
      <c r="S201" t="s">
        <v>2033</v>
      </c>
      <c r="T201" t="s">
        <v>2034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>
        <f t="shared" si="12"/>
        <v>2</v>
      </c>
      <c r="G202" s="4" t="s">
        <v>14</v>
      </c>
      <c r="H202">
        <v>1</v>
      </c>
      <c r="I202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s="19">
        <f t="shared" si="14"/>
        <v>40262.208333333336</v>
      </c>
      <c r="O202" s="19">
        <f t="shared" si="15"/>
        <v>40273.208333333336</v>
      </c>
      <c r="P202" t="b">
        <v>0</v>
      </c>
      <c r="Q202" t="b">
        <v>0</v>
      </c>
      <c r="R202" t="s">
        <v>33</v>
      </c>
      <c r="S202" t="s">
        <v>2037</v>
      </c>
      <c r="T202" t="s">
        <v>2038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>
        <f t="shared" si="12"/>
        <v>681</v>
      </c>
      <c r="G203" s="5" t="s">
        <v>20</v>
      </c>
      <c r="H203">
        <v>157</v>
      </c>
      <c r="I203">
        <f t="shared" si="13"/>
        <v>91.11</v>
      </c>
      <c r="J203" t="s">
        <v>21</v>
      </c>
      <c r="K203" t="s">
        <v>22</v>
      </c>
      <c r="L203">
        <v>1406264400</v>
      </c>
      <c r="M203">
        <v>1407819600</v>
      </c>
      <c r="N203" s="19">
        <f t="shared" si="14"/>
        <v>41845.208333333336</v>
      </c>
      <c r="O203" s="19">
        <f t="shared" si="15"/>
        <v>41863.208333333336</v>
      </c>
      <c r="P203" t="b">
        <v>0</v>
      </c>
      <c r="Q203" t="b">
        <v>0</v>
      </c>
      <c r="R203" t="s">
        <v>28</v>
      </c>
      <c r="S203" t="s">
        <v>2035</v>
      </c>
      <c r="T203" t="s">
        <v>2036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>
        <f t="shared" si="12"/>
        <v>79</v>
      </c>
      <c r="G204" s="7" t="s">
        <v>74</v>
      </c>
      <c r="H204">
        <v>82</v>
      </c>
      <c r="I204">
        <f t="shared" si="13"/>
        <v>79.790000000000006</v>
      </c>
      <c r="J204" t="s">
        <v>21</v>
      </c>
      <c r="K204" t="s">
        <v>22</v>
      </c>
      <c r="L204">
        <v>1317531600</v>
      </c>
      <c r="M204">
        <v>1317877200</v>
      </c>
      <c r="N204" s="19">
        <f t="shared" si="14"/>
        <v>40818.208333333336</v>
      </c>
      <c r="O204" s="19">
        <f t="shared" si="15"/>
        <v>40822.208333333336</v>
      </c>
      <c r="P204" t="b">
        <v>0</v>
      </c>
      <c r="Q204" t="b">
        <v>0</v>
      </c>
      <c r="R204" t="s">
        <v>17</v>
      </c>
      <c r="S204" t="s">
        <v>2031</v>
      </c>
      <c r="T204" t="s">
        <v>2032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>
        <f t="shared" si="12"/>
        <v>134</v>
      </c>
      <c r="G205" s="5" t="s">
        <v>20</v>
      </c>
      <c r="H205">
        <v>4498</v>
      </c>
      <c r="I205">
        <f t="shared" si="13"/>
        <v>43</v>
      </c>
      <c r="J205" t="s">
        <v>26</v>
      </c>
      <c r="K205" t="s">
        <v>27</v>
      </c>
      <c r="L205">
        <v>1484632800</v>
      </c>
      <c r="M205">
        <v>1484805600</v>
      </c>
      <c r="N205" s="19">
        <f t="shared" si="14"/>
        <v>42752.25</v>
      </c>
      <c r="O205" s="19">
        <f t="shared" si="15"/>
        <v>42754.25</v>
      </c>
      <c r="P205" t="b">
        <v>0</v>
      </c>
      <c r="Q205" t="b">
        <v>0</v>
      </c>
      <c r="R205" t="s">
        <v>33</v>
      </c>
      <c r="S205" t="s">
        <v>2037</v>
      </c>
      <c r="T205" t="s">
        <v>2038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>
        <f t="shared" si="12"/>
        <v>3</v>
      </c>
      <c r="G206" s="4" t="s">
        <v>14</v>
      </c>
      <c r="H206">
        <v>40</v>
      </c>
      <c r="I206">
        <f t="shared" si="13"/>
        <v>63.23</v>
      </c>
      <c r="J206" t="s">
        <v>21</v>
      </c>
      <c r="K206" t="s">
        <v>22</v>
      </c>
      <c r="L206">
        <v>1301806800</v>
      </c>
      <c r="M206">
        <v>1302670800</v>
      </c>
      <c r="N206" s="19">
        <f t="shared" si="14"/>
        <v>40636.208333333336</v>
      </c>
      <c r="O206" s="19">
        <f t="shared" si="15"/>
        <v>40646.208333333336</v>
      </c>
      <c r="P206" t="b">
        <v>0</v>
      </c>
      <c r="Q206" t="b">
        <v>0</v>
      </c>
      <c r="R206" t="s">
        <v>159</v>
      </c>
      <c r="S206" t="s">
        <v>2033</v>
      </c>
      <c r="T206" t="s">
        <v>2056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>
        <f t="shared" si="12"/>
        <v>432</v>
      </c>
      <c r="G207" s="5" t="s">
        <v>20</v>
      </c>
      <c r="H207">
        <v>80</v>
      </c>
      <c r="I207">
        <f t="shared" si="13"/>
        <v>70.180000000000007</v>
      </c>
      <c r="J207" t="s">
        <v>21</v>
      </c>
      <c r="K207" t="s">
        <v>22</v>
      </c>
      <c r="L207">
        <v>1539752400</v>
      </c>
      <c r="M207">
        <v>1540789200</v>
      </c>
      <c r="N207" s="19">
        <f t="shared" si="14"/>
        <v>43390.208333333328</v>
      </c>
      <c r="O207" s="19">
        <f t="shared" si="15"/>
        <v>43402.208333333328</v>
      </c>
      <c r="P207" t="b">
        <v>1</v>
      </c>
      <c r="Q207" t="b">
        <v>0</v>
      </c>
      <c r="R207" t="s">
        <v>33</v>
      </c>
      <c r="S207" t="s">
        <v>2037</v>
      </c>
      <c r="T207" t="s">
        <v>2038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>
        <f t="shared" si="12"/>
        <v>39</v>
      </c>
      <c r="G208" s="7" t="s">
        <v>74</v>
      </c>
      <c r="H208">
        <v>57</v>
      </c>
      <c r="I208">
        <f t="shared" si="13"/>
        <v>61.33</v>
      </c>
      <c r="J208" t="s">
        <v>21</v>
      </c>
      <c r="K208" t="s">
        <v>22</v>
      </c>
      <c r="L208">
        <v>1267250400</v>
      </c>
      <c r="M208">
        <v>1268028000</v>
      </c>
      <c r="N208" s="19">
        <f t="shared" si="14"/>
        <v>40236.25</v>
      </c>
      <c r="O208" s="19">
        <f t="shared" si="15"/>
        <v>40245.25</v>
      </c>
      <c r="P208" t="b">
        <v>0</v>
      </c>
      <c r="Q208" t="b">
        <v>0</v>
      </c>
      <c r="R208" t="s">
        <v>119</v>
      </c>
      <c r="S208" t="s">
        <v>2045</v>
      </c>
      <c r="T208" t="s">
        <v>2051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>
        <f t="shared" si="12"/>
        <v>426</v>
      </c>
      <c r="G209" s="5" t="s">
        <v>20</v>
      </c>
      <c r="H209">
        <v>43</v>
      </c>
      <c r="I209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s="19">
        <f t="shared" si="14"/>
        <v>43340.208333333328</v>
      </c>
      <c r="O209" s="19">
        <f t="shared" si="15"/>
        <v>43360.208333333328</v>
      </c>
      <c r="P209" t="b">
        <v>0</v>
      </c>
      <c r="Q209" t="b">
        <v>1</v>
      </c>
      <c r="R209" t="s">
        <v>23</v>
      </c>
      <c r="S209" t="s">
        <v>2033</v>
      </c>
      <c r="T209" t="s">
        <v>2034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>
        <f t="shared" si="12"/>
        <v>101</v>
      </c>
      <c r="G210" s="5" t="s">
        <v>20</v>
      </c>
      <c r="H210">
        <v>2053</v>
      </c>
      <c r="I210">
        <f t="shared" si="13"/>
        <v>96.98</v>
      </c>
      <c r="J210" t="s">
        <v>21</v>
      </c>
      <c r="K210" t="s">
        <v>22</v>
      </c>
      <c r="L210">
        <v>1510207200</v>
      </c>
      <c r="M210">
        <v>1512280800</v>
      </c>
      <c r="N210" s="19">
        <f t="shared" si="14"/>
        <v>43048.25</v>
      </c>
      <c r="O210" s="19">
        <f t="shared" si="15"/>
        <v>43072.25</v>
      </c>
      <c r="P210" t="b">
        <v>0</v>
      </c>
      <c r="Q210" t="b">
        <v>0</v>
      </c>
      <c r="R210" t="s">
        <v>42</v>
      </c>
      <c r="S210" t="s">
        <v>2039</v>
      </c>
      <c r="T210" t="s">
        <v>2040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>
        <f t="shared" si="12"/>
        <v>21</v>
      </c>
      <c r="G211" s="6" t="s">
        <v>47</v>
      </c>
      <c r="H211">
        <v>808</v>
      </c>
      <c r="I211">
        <f t="shared" si="13"/>
        <v>51</v>
      </c>
      <c r="J211" t="s">
        <v>26</v>
      </c>
      <c r="K211" t="s">
        <v>27</v>
      </c>
      <c r="L211">
        <v>1462510800</v>
      </c>
      <c r="M211">
        <v>1463115600</v>
      </c>
      <c r="N211" s="19">
        <f t="shared" si="14"/>
        <v>42496.208333333328</v>
      </c>
      <c r="O211" s="19">
        <f t="shared" si="15"/>
        <v>42503.208333333328</v>
      </c>
      <c r="P211" t="b">
        <v>0</v>
      </c>
      <c r="Q211" t="b">
        <v>0</v>
      </c>
      <c r="R211" t="s">
        <v>42</v>
      </c>
      <c r="S211" t="s">
        <v>2039</v>
      </c>
      <c r="T211" t="s">
        <v>2040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>
        <f t="shared" si="12"/>
        <v>67</v>
      </c>
      <c r="G212" s="4" t="s">
        <v>14</v>
      </c>
      <c r="H212">
        <v>226</v>
      </c>
      <c r="I212">
        <f t="shared" si="13"/>
        <v>28.04</v>
      </c>
      <c r="J212" t="s">
        <v>36</v>
      </c>
      <c r="K212" t="s">
        <v>37</v>
      </c>
      <c r="L212">
        <v>1488520800</v>
      </c>
      <c r="M212">
        <v>1490850000</v>
      </c>
      <c r="N212" s="19">
        <f t="shared" si="14"/>
        <v>42797.25</v>
      </c>
      <c r="O212" s="19">
        <f t="shared" si="15"/>
        <v>42824.208333333328</v>
      </c>
      <c r="P212" t="b">
        <v>0</v>
      </c>
      <c r="Q212" t="b">
        <v>0</v>
      </c>
      <c r="R212" t="s">
        <v>474</v>
      </c>
      <c r="S212" t="s">
        <v>2039</v>
      </c>
      <c r="T212" t="s">
        <v>2061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>
        <f t="shared" si="12"/>
        <v>95</v>
      </c>
      <c r="G213" s="4" t="s">
        <v>14</v>
      </c>
      <c r="H213">
        <v>1625</v>
      </c>
      <c r="I213">
        <f t="shared" si="13"/>
        <v>60.98</v>
      </c>
      <c r="J213" t="s">
        <v>21</v>
      </c>
      <c r="K213" t="s">
        <v>22</v>
      </c>
      <c r="L213">
        <v>1377579600</v>
      </c>
      <c r="M213">
        <v>1379653200</v>
      </c>
      <c r="N213" s="19">
        <f t="shared" si="14"/>
        <v>41513.208333333336</v>
      </c>
      <c r="O213" s="19">
        <f t="shared" si="15"/>
        <v>41537.208333333336</v>
      </c>
      <c r="P213" t="b">
        <v>0</v>
      </c>
      <c r="Q213" t="b">
        <v>0</v>
      </c>
      <c r="R213" t="s">
        <v>33</v>
      </c>
      <c r="S213" t="s">
        <v>2037</v>
      </c>
      <c r="T213" t="s">
        <v>2038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>
        <f t="shared" si="12"/>
        <v>152</v>
      </c>
      <c r="G214" s="5" t="s">
        <v>20</v>
      </c>
      <c r="H214">
        <v>168</v>
      </c>
      <c r="I214">
        <f t="shared" si="13"/>
        <v>73.209999999999994</v>
      </c>
      <c r="J214" t="s">
        <v>21</v>
      </c>
      <c r="K214" t="s">
        <v>22</v>
      </c>
      <c r="L214">
        <v>1576389600</v>
      </c>
      <c r="M214">
        <v>1580364000</v>
      </c>
      <c r="N214" s="19">
        <f t="shared" si="14"/>
        <v>43814.25</v>
      </c>
      <c r="O214" s="19">
        <f t="shared" si="15"/>
        <v>43860.25</v>
      </c>
      <c r="P214" t="b">
        <v>0</v>
      </c>
      <c r="Q214" t="b">
        <v>0</v>
      </c>
      <c r="R214" t="s">
        <v>33</v>
      </c>
      <c r="S214" t="s">
        <v>2037</v>
      </c>
      <c r="T214" t="s">
        <v>2038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>
        <f t="shared" si="12"/>
        <v>195</v>
      </c>
      <c r="G215" s="5" t="s">
        <v>20</v>
      </c>
      <c r="H215">
        <v>4289</v>
      </c>
      <c r="I215">
        <f t="shared" si="13"/>
        <v>40</v>
      </c>
      <c r="J215" t="s">
        <v>21</v>
      </c>
      <c r="K215" t="s">
        <v>22</v>
      </c>
      <c r="L215">
        <v>1289019600</v>
      </c>
      <c r="M215">
        <v>1289714400</v>
      </c>
      <c r="N215" s="19">
        <f t="shared" si="14"/>
        <v>40488.208333333336</v>
      </c>
      <c r="O215" s="19">
        <f t="shared" si="15"/>
        <v>40496.25</v>
      </c>
      <c r="P215" t="b">
        <v>0</v>
      </c>
      <c r="Q215" t="b">
        <v>1</v>
      </c>
      <c r="R215" t="s">
        <v>60</v>
      </c>
      <c r="S215" t="s">
        <v>2033</v>
      </c>
      <c r="T215" t="s">
        <v>2043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>
        <f t="shared" si="12"/>
        <v>1023</v>
      </c>
      <c r="G216" s="5" t="s">
        <v>20</v>
      </c>
      <c r="H216">
        <v>165</v>
      </c>
      <c r="I216">
        <f t="shared" si="13"/>
        <v>86.81</v>
      </c>
      <c r="J216" t="s">
        <v>21</v>
      </c>
      <c r="K216" t="s">
        <v>22</v>
      </c>
      <c r="L216">
        <v>1282194000</v>
      </c>
      <c r="M216">
        <v>1282712400</v>
      </c>
      <c r="N216" s="19">
        <f t="shared" si="14"/>
        <v>40409.208333333336</v>
      </c>
      <c r="O216" s="19">
        <f t="shared" si="15"/>
        <v>40415.208333333336</v>
      </c>
      <c r="P216" t="b">
        <v>0</v>
      </c>
      <c r="Q216" t="b">
        <v>0</v>
      </c>
      <c r="R216" t="s">
        <v>23</v>
      </c>
      <c r="S216" t="s">
        <v>2033</v>
      </c>
      <c r="T216" t="s">
        <v>2034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>
        <f t="shared" si="12"/>
        <v>4</v>
      </c>
      <c r="G217" s="4" t="s">
        <v>14</v>
      </c>
      <c r="H217">
        <v>143</v>
      </c>
      <c r="I217">
        <f t="shared" si="13"/>
        <v>42.13</v>
      </c>
      <c r="J217" t="s">
        <v>21</v>
      </c>
      <c r="K217" t="s">
        <v>22</v>
      </c>
      <c r="L217">
        <v>1550037600</v>
      </c>
      <c r="M217">
        <v>1550210400</v>
      </c>
      <c r="N217" s="19">
        <f t="shared" si="14"/>
        <v>43509.25</v>
      </c>
      <c r="O217" s="19">
        <f t="shared" si="15"/>
        <v>43511.25</v>
      </c>
      <c r="P217" t="b">
        <v>0</v>
      </c>
      <c r="Q217" t="b">
        <v>0</v>
      </c>
      <c r="R217" t="s">
        <v>33</v>
      </c>
      <c r="S217" t="s">
        <v>2037</v>
      </c>
      <c r="T217" t="s">
        <v>2038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>
        <f t="shared" si="12"/>
        <v>155</v>
      </c>
      <c r="G218" s="5" t="s">
        <v>20</v>
      </c>
      <c r="H218">
        <v>1815</v>
      </c>
      <c r="I218">
        <f t="shared" si="13"/>
        <v>103.98</v>
      </c>
      <c r="J218" t="s">
        <v>21</v>
      </c>
      <c r="K218" t="s">
        <v>22</v>
      </c>
      <c r="L218">
        <v>1321941600</v>
      </c>
      <c r="M218">
        <v>1322114400</v>
      </c>
      <c r="N218" s="19">
        <f t="shared" si="14"/>
        <v>40869.25</v>
      </c>
      <c r="O218" s="19">
        <f t="shared" si="15"/>
        <v>40871.25</v>
      </c>
      <c r="P218" t="b">
        <v>0</v>
      </c>
      <c r="Q218" t="b">
        <v>0</v>
      </c>
      <c r="R218" t="s">
        <v>33</v>
      </c>
      <c r="S218" t="s">
        <v>2037</v>
      </c>
      <c r="T218" t="s">
        <v>2038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>
        <f t="shared" si="12"/>
        <v>45</v>
      </c>
      <c r="G219" s="4" t="s">
        <v>14</v>
      </c>
      <c r="H219">
        <v>934</v>
      </c>
      <c r="I219">
        <f t="shared" si="13"/>
        <v>62</v>
      </c>
      <c r="J219" t="s">
        <v>21</v>
      </c>
      <c r="K219" t="s">
        <v>22</v>
      </c>
      <c r="L219">
        <v>1556427600</v>
      </c>
      <c r="M219">
        <v>1557205200</v>
      </c>
      <c r="N219" s="19">
        <f t="shared" si="14"/>
        <v>43583.208333333328</v>
      </c>
      <c r="O219" s="19">
        <f t="shared" si="15"/>
        <v>43592.208333333328</v>
      </c>
      <c r="P219" t="b">
        <v>0</v>
      </c>
      <c r="Q219" t="b">
        <v>0</v>
      </c>
      <c r="R219" t="s">
        <v>474</v>
      </c>
      <c r="S219" t="s">
        <v>2039</v>
      </c>
      <c r="T219" t="s">
        <v>2061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>
        <f t="shared" si="12"/>
        <v>216</v>
      </c>
      <c r="G220" s="5" t="s">
        <v>20</v>
      </c>
      <c r="H220">
        <v>397</v>
      </c>
      <c r="I220">
        <f t="shared" si="13"/>
        <v>31.01</v>
      </c>
      <c r="J220" t="s">
        <v>40</v>
      </c>
      <c r="K220" t="s">
        <v>41</v>
      </c>
      <c r="L220">
        <v>1320991200</v>
      </c>
      <c r="M220">
        <v>1323928800</v>
      </c>
      <c r="N220" s="19">
        <f t="shared" si="14"/>
        <v>40858.25</v>
      </c>
      <c r="O220" s="19">
        <f t="shared" si="15"/>
        <v>40892.25</v>
      </c>
      <c r="P220" t="b">
        <v>0</v>
      </c>
      <c r="Q220" t="b">
        <v>1</v>
      </c>
      <c r="R220" t="s">
        <v>100</v>
      </c>
      <c r="S220" t="s">
        <v>2039</v>
      </c>
      <c r="T220" t="s">
        <v>2050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>
        <f t="shared" si="12"/>
        <v>332</v>
      </c>
      <c r="G221" s="5" t="s">
        <v>20</v>
      </c>
      <c r="H221">
        <v>1539</v>
      </c>
      <c r="I221">
        <f t="shared" si="13"/>
        <v>89.99</v>
      </c>
      <c r="J221" t="s">
        <v>21</v>
      </c>
      <c r="K221" t="s">
        <v>22</v>
      </c>
      <c r="L221">
        <v>1345093200</v>
      </c>
      <c r="M221">
        <v>1346130000</v>
      </c>
      <c r="N221" s="19">
        <f t="shared" si="14"/>
        <v>41137.208333333336</v>
      </c>
      <c r="O221" s="19">
        <f t="shared" si="15"/>
        <v>41149.208333333336</v>
      </c>
      <c r="P221" t="b">
        <v>0</v>
      </c>
      <c r="Q221" t="b">
        <v>0</v>
      </c>
      <c r="R221" t="s">
        <v>71</v>
      </c>
      <c r="S221" t="s">
        <v>2039</v>
      </c>
      <c r="T221" t="s">
        <v>2047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>
        <f t="shared" si="12"/>
        <v>8</v>
      </c>
      <c r="G222" s="4" t="s">
        <v>14</v>
      </c>
      <c r="H222">
        <v>17</v>
      </c>
      <c r="I222">
        <f t="shared" si="13"/>
        <v>39.24</v>
      </c>
      <c r="J222" t="s">
        <v>21</v>
      </c>
      <c r="K222" t="s">
        <v>22</v>
      </c>
      <c r="L222">
        <v>1309496400</v>
      </c>
      <c r="M222">
        <v>1311051600</v>
      </c>
      <c r="N222" s="19">
        <f t="shared" si="14"/>
        <v>40725.208333333336</v>
      </c>
      <c r="O222" s="19">
        <f t="shared" si="15"/>
        <v>40743.208333333336</v>
      </c>
      <c r="P222" t="b">
        <v>1</v>
      </c>
      <c r="Q222" t="b">
        <v>0</v>
      </c>
      <c r="R222" t="s">
        <v>33</v>
      </c>
      <c r="S222" t="s">
        <v>2037</v>
      </c>
      <c r="T222" t="s">
        <v>2038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>
        <f t="shared" si="12"/>
        <v>99</v>
      </c>
      <c r="G223" s="4" t="s">
        <v>14</v>
      </c>
      <c r="H223">
        <v>2179</v>
      </c>
      <c r="I223">
        <f t="shared" si="13"/>
        <v>54.99</v>
      </c>
      <c r="J223" t="s">
        <v>21</v>
      </c>
      <c r="K223" t="s">
        <v>22</v>
      </c>
      <c r="L223">
        <v>1340254800</v>
      </c>
      <c r="M223">
        <v>1340427600</v>
      </c>
      <c r="N223" s="19">
        <f t="shared" si="14"/>
        <v>41081.208333333336</v>
      </c>
      <c r="O223" s="19">
        <f t="shared" si="15"/>
        <v>41083.208333333336</v>
      </c>
      <c r="P223" t="b">
        <v>1</v>
      </c>
      <c r="Q223" t="b">
        <v>0</v>
      </c>
      <c r="R223" t="s">
        <v>17</v>
      </c>
      <c r="S223" t="s">
        <v>2031</v>
      </c>
      <c r="T223" t="s">
        <v>2032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>
        <f t="shared" si="12"/>
        <v>138</v>
      </c>
      <c r="G224" s="5" t="s">
        <v>20</v>
      </c>
      <c r="H224">
        <v>138</v>
      </c>
      <c r="I224">
        <f t="shared" si="13"/>
        <v>47.99</v>
      </c>
      <c r="J224" t="s">
        <v>21</v>
      </c>
      <c r="K224" t="s">
        <v>22</v>
      </c>
      <c r="L224">
        <v>1412226000</v>
      </c>
      <c r="M224">
        <v>1412312400</v>
      </c>
      <c r="N224" s="19">
        <f t="shared" si="14"/>
        <v>41914.208333333336</v>
      </c>
      <c r="O224" s="19">
        <f t="shared" si="15"/>
        <v>41915.208333333336</v>
      </c>
      <c r="P224" t="b">
        <v>0</v>
      </c>
      <c r="Q224" t="b">
        <v>0</v>
      </c>
      <c r="R224" t="s">
        <v>122</v>
      </c>
      <c r="S224" t="s">
        <v>2052</v>
      </c>
      <c r="T224" t="s">
        <v>2053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>
        <f t="shared" si="12"/>
        <v>94</v>
      </c>
      <c r="G225" s="4" t="s">
        <v>14</v>
      </c>
      <c r="H225">
        <v>931</v>
      </c>
      <c r="I225">
        <f t="shared" si="13"/>
        <v>87.97</v>
      </c>
      <c r="J225" t="s">
        <v>21</v>
      </c>
      <c r="K225" t="s">
        <v>22</v>
      </c>
      <c r="L225">
        <v>1458104400</v>
      </c>
      <c r="M225">
        <v>1459314000</v>
      </c>
      <c r="N225" s="19">
        <f t="shared" si="14"/>
        <v>42445.208333333328</v>
      </c>
      <c r="O225" s="19">
        <f t="shared" si="15"/>
        <v>42459.208333333328</v>
      </c>
      <c r="P225" t="b">
        <v>0</v>
      </c>
      <c r="Q225" t="b">
        <v>0</v>
      </c>
      <c r="R225" t="s">
        <v>33</v>
      </c>
      <c r="S225" t="s">
        <v>2037</v>
      </c>
      <c r="T225" t="s">
        <v>2038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>
        <f t="shared" si="12"/>
        <v>404</v>
      </c>
      <c r="G226" s="5" t="s">
        <v>20</v>
      </c>
      <c r="H226">
        <v>3594</v>
      </c>
      <c r="I226">
        <f t="shared" si="13"/>
        <v>52</v>
      </c>
      <c r="J226" t="s">
        <v>21</v>
      </c>
      <c r="K226" t="s">
        <v>22</v>
      </c>
      <c r="L226">
        <v>1411534800</v>
      </c>
      <c r="M226">
        <v>1415426400</v>
      </c>
      <c r="N226" s="19">
        <f t="shared" si="14"/>
        <v>41906.208333333336</v>
      </c>
      <c r="O226" s="19">
        <f t="shared" si="15"/>
        <v>41951.25</v>
      </c>
      <c r="P226" t="b">
        <v>0</v>
      </c>
      <c r="Q226" t="b">
        <v>0</v>
      </c>
      <c r="R226" t="s">
        <v>474</v>
      </c>
      <c r="S226" t="s">
        <v>2039</v>
      </c>
      <c r="T226" t="s">
        <v>2061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>
        <f t="shared" si="12"/>
        <v>260</v>
      </c>
      <c r="G227" s="5" t="s">
        <v>20</v>
      </c>
      <c r="H227">
        <v>5880</v>
      </c>
      <c r="I227">
        <f t="shared" si="13"/>
        <v>30</v>
      </c>
      <c r="J227" t="s">
        <v>21</v>
      </c>
      <c r="K227" t="s">
        <v>22</v>
      </c>
      <c r="L227">
        <v>1399093200</v>
      </c>
      <c r="M227">
        <v>1399093200</v>
      </c>
      <c r="N227" s="19">
        <f t="shared" si="14"/>
        <v>41762.208333333336</v>
      </c>
      <c r="O227" s="19">
        <f t="shared" si="15"/>
        <v>41762.208333333336</v>
      </c>
      <c r="P227" t="b">
        <v>1</v>
      </c>
      <c r="Q227" t="b">
        <v>0</v>
      </c>
      <c r="R227" t="s">
        <v>23</v>
      </c>
      <c r="S227" t="s">
        <v>2033</v>
      </c>
      <c r="T227" t="s">
        <v>2034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>
        <f t="shared" si="12"/>
        <v>367</v>
      </c>
      <c r="G228" s="5" t="s">
        <v>20</v>
      </c>
      <c r="H228">
        <v>112</v>
      </c>
      <c r="I228">
        <f t="shared" si="13"/>
        <v>98.21</v>
      </c>
      <c r="J228" t="s">
        <v>21</v>
      </c>
      <c r="K228" t="s">
        <v>22</v>
      </c>
      <c r="L228">
        <v>1270702800</v>
      </c>
      <c r="M228">
        <v>1273899600</v>
      </c>
      <c r="N228" s="19">
        <f t="shared" si="14"/>
        <v>40276.208333333336</v>
      </c>
      <c r="O228" s="19">
        <f t="shared" si="15"/>
        <v>40313.208333333336</v>
      </c>
      <c r="P228" t="b">
        <v>0</v>
      </c>
      <c r="Q228" t="b">
        <v>0</v>
      </c>
      <c r="R228" t="s">
        <v>122</v>
      </c>
      <c r="S228" t="s">
        <v>2052</v>
      </c>
      <c r="T228" t="s">
        <v>2053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>
        <f t="shared" si="12"/>
        <v>169</v>
      </c>
      <c r="G229" s="5" t="s">
        <v>20</v>
      </c>
      <c r="H229">
        <v>943</v>
      </c>
      <c r="I229">
        <f t="shared" si="13"/>
        <v>108.96</v>
      </c>
      <c r="J229" t="s">
        <v>21</v>
      </c>
      <c r="K229" t="s">
        <v>22</v>
      </c>
      <c r="L229">
        <v>1431666000</v>
      </c>
      <c r="M229">
        <v>1432184400</v>
      </c>
      <c r="N229" s="19">
        <f t="shared" si="14"/>
        <v>42139.208333333328</v>
      </c>
      <c r="O229" s="19">
        <f t="shared" si="15"/>
        <v>42145.208333333328</v>
      </c>
      <c r="P229" t="b">
        <v>0</v>
      </c>
      <c r="Q229" t="b">
        <v>0</v>
      </c>
      <c r="R229" t="s">
        <v>292</v>
      </c>
      <c r="S229" t="s">
        <v>2048</v>
      </c>
      <c r="T229" t="s">
        <v>2059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>
        <f t="shared" si="12"/>
        <v>120</v>
      </c>
      <c r="G230" s="5" t="s">
        <v>20</v>
      </c>
      <c r="H230">
        <v>2468</v>
      </c>
      <c r="I230">
        <f t="shared" si="13"/>
        <v>67</v>
      </c>
      <c r="J230" t="s">
        <v>21</v>
      </c>
      <c r="K230" t="s">
        <v>22</v>
      </c>
      <c r="L230">
        <v>1472619600</v>
      </c>
      <c r="M230">
        <v>1474779600</v>
      </c>
      <c r="N230" s="19">
        <f t="shared" si="14"/>
        <v>42613.208333333328</v>
      </c>
      <c r="O230" s="19">
        <f t="shared" si="15"/>
        <v>42638.208333333328</v>
      </c>
      <c r="P230" t="b">
        <v>0</v>
      </c>
      <c r="Q230" t="b">
        <v>0</v>
      </c>
      <c r="R230" t="s">
        <v>71</v>
      </c>
      <c r="S230" t="s">
        <v>2039</v>
      </c>
      <c r="T230" t="s">
        <v>2047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>
        <f t="shared" si="12"/>
        <v>194</v>
      </c>
      <c r="G231" s="5" t="s">
        <v>20</v>
      </c>
      <c r="H231">
        <v>2551</v>
      </c>
      <c r="I231">
        <f t="shared" si="13"/>
        <v>64.989999999999995</v>
      </c>
      <c r="J231" t="s">
        <v>21</v>
      </c>
      <c r="K231" t="s">
        <v>22</v>
      </c>
      <c r="L231">
        <v>1496293200</v>
      </c>
      <c r="M231">
        <v>1500440400</v>
      </c>
      <c r="N231" s="19">
        <f t="shared" si="14"/>
        <v>42887.208333333328</v>
      </c>
      <c r="O231" s="19">
        <f t="shared" si="15"/>
        <v>42935.208333333328</v>
      </c>
      <c r="P231" t="b">
        <v>0</v>
      </c>
      <c r="Q231" t="b">
        <v>1</v>
      </c>
      <c r="R231" t="s">
        <v>292</v>
      </c>
      <c r="S231" t="s">
        <v>2048</v>
      </c>
      <c r="T231" t="s">
        <v>2059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>
        <f t="shared" si="12"/>
        <v>420</v>
      </c>
      <c r="G232" s="5" t="s">
        <v>20</v>
      </c>
      <c r="H232">
        <v>101</v>
      </c>
      <c r="I232">
        <f t="shared" si="13"/>
        <v>99.84</v>
      </c>
      <c r="J232" t="s">
        <v>21</v>
      </c>
      <c r="K232" t="s">
        <v>22</v>
      </c>
      <c r="L232">
        <v>1575612000</v>
      </c>
      <c r="M232">
        <v>1575612000</v>
      </c>
      <c r="N232" s="19">
        <f t="shared" si="14"/>
        <v>43805.25</v>
      </c>
      <c r="O232" s="19">
        <f t="shared" si="15"/>
        <v>43805.25</v>
      </c>
      <c r="P232" t="b">
        <v>0</v>
      </c>
      <c r="Q232" t="b">
        <v>0</v>
      </c>
      <c r="R232" t="s">
        <v>89</v>
      </c>
      <c r="S232" t="s">
        <v>2048</v>
      </c>
      <c r="T232" t="s">
        <v>2049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>
        <f t="shared" si="12"/>
        <v>77</v>
      </c>
      <c r="G233" s="7" t="s">
        <v>74</v>
      </c>
      <c r="H233">
        <v>67</v>
      </c>
      <c r="I233">
        <f t="shared" si="13"/>
        <v>82.43</v>
      </c>
      <c r="J233" t="s">
        <v>21</v>
      </c>
      <c r="K233" t="s">
        <v>22</v>
      </c>
      <c r="L233">
        <v>1369112400</v>
      </c>
      <c r="M233">
        <v>1374123600</v>
      </c>
      <c r="N233" s="19">
        <f t="shared" si="14"/>
        <v>41415.208333333336</v>
      </c>
      <c r="O233" s="19">
        <f t="shared" si="15"/>
        <v>41473.208333333336</v>
      </c>
      <c r="P233" t="b">
        <v>0</v>
      </c>
      <c r="Q233" t="b">
        <v>0</v>
      </c>
      <c r="R233" t="s">
        <v>33</v>
      </c>
      <c r="S233" t="s">
        <v>2037</v>
      </c>
      <c r="T233" t="s">
        <v>2038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>
        <f t="shared" si="12"/>
        <v>171</v>
      </c>
      <c r="G234" s="5" t="s">
        <v>20</v>
      </c>
      <c r="H234">
        <v>92</v>
      </c>
      <c r="I234">
        <f t="shared" si="13"/>
        <v>63.29</v>
      </c>
      <c r="J234" t="s">
        <v>21</v>
      </c>
      <c r="K234" t="s">
        <v>22</v>
      </c>
      <c r="L234">
        <v>1469422800</v>
      </c>
      <c r="M234">
        <v>1469509200</v>
      </c>
      <c r="N234" s="19">
        <f t="shared" si="14"/>
        <v>42576.208333333328</v>
      </c>
      <c r="O234" s="19">
        <f t="shared" si="15"/>
        <v>42577.208333333328</v>
      </c>
      <c r="P234" t="b">
        <v>0</v>
      </c>
      <c r="Q234" t="b">
        <v>0</v>
      </c>
      <c r="R234" t="s">
        <v>33</v>
      </c>
      <c r="S234" t="s">
        <v>2037</v>
      </c>
      <c r="T234" t="s">
        <v>2038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>
        <f t="shared" si="12"/>
        <v>158</v>
      </c>
      <c r="G235" s="5" t="s">
        <v>20</v>
      </c>
      <c r="H235">
        <v>62</v>
      </c>
      <c r="I235">
        <f t="shared" si="13"/>
        <v>96.77</v>
      </c>
      <c r="J235" t="s">
        <v>21</v>
      </c>
      <c r="K235" t="s">
        <v>22</v>
      </c>
      <c r="L235">
        <v>1307854800</v>
      </c>
      <c r="M235">
        <v>1309237200</v>
      </c>
      <c r="N235" s="19">
        <f t="shared" si="14"/>
        <v>40706.208333333336</v>
      </c>
      <c r="O235" s="19">
        <f t="shared" si="15"/>
        <v>40722.208333333336</v>
      </c>
      <c r="P235" t="b">
        <v>0</v>
      </c>
      <c r="Q235" t="b">
        <v>0</v>
      </c>
      <c r="R235" t="s">
        <v>71</v>
      </c>
      <c r="S235" t="s">
        <v>2039</v>
      </c>
      <c r="T235" t="s">
        <v>2047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>
        <f t="shared" si="12"/>
        <v>109</v>
      </c>
      <c r="G236" s="5" t="s">
        <v>20</v>
      </c>
      <c r="H236">
        <v>149</v>
      </c>
      <c r="I236">
        <f t="shared" si="13"/>
        <v>54.91</v>
      </c>
      <c r="J236" t="s">
        <v>107</v>
      </c>
      <c r="K236" t="s">
        <v>108</v>
      </c>
      <c r="L236">
        <v>1503378000</v>
      </c>
      <c r="M236">
        <v>1503982800</v>
      </c>
      <c r="N236" s="19">
        <f t="shared" si="14"/>
        <v>42969.208333333328</v>
      </c>
      <c r="O236" s="19">
        <f t="shared" si="15"/>
        <v>42976.208333333328</v>
      </c>
      <c r="P236" t="b">
        <v>0</v>
      </c>
      <c r="Q236" t="b">
        <v>1</v>
      </c>
      <c r="R236" t="s">
        <v>89</v>
      </c>
      <c r="S236" t="s">
        <v>2048</v>
      </c>
      <c r="T236" t="s">
        <v>2049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>
        <f t="shared" si="12"/>
        <v>42</v>
      </c>
      <c r="G237" s="4" t="s">
        <v>14</v>
      </c>
      <c r="H237">
        <v>92</v>
      </c>
      <c r="I237">
        <f t="shared" si="13"/>
        <v>39.01</v>
      </c>
      <c r="J237" t="s">
        <v>21</v>
      </c>
      <c r="K237" t="s">
        <v>22</v>
      </c>
      <c r="L237">
        <v>1486965600</v>
      </c>
      <c r="M237">
        <v>1487397600</v>
      </c>
      <c r="N237" s="19">
        <f t="shared" si="14"/>
        <v>42779.25</v>
      </c>
      <c r="O237" s="19">
        <f t="shared" si="15"/>
        <v>42784.25</v>
      </c>
      <c r="P237" t="b">
        <v>0</v>
      </c>
      <c r="Q237" t="b">
        <v>0</v>
      </c>
      <c r="R237" t="s">
        <v>71</v>
      </c>
      <c r="S237" t="s">
        <v>2039</v>
      </c>
      <c r="T237" t="s">
        <v>2047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>
        <f t="shared" si="12"/>
        <v>11</v>
      </c>
      <c r="G238" s="4" t="s">
        <v>14</v>
      </c>
      <c r="H238">
        <v>57</v>
      </c>
      <c r="I238">
        <f t="shared" si="13"/>
        <v>75.84</v>
      </c>
      <c r="J238" t="s">
        <v>26</v>
      </c>
      <c r="K238" t="s">
        <v>27</v>
      </c>
      <c r="L238">
        <v>1561438800</v>
      </c>
      <c r="M238">
        <v>1562043600</v>
      </c>
      <c r="N238" s="19">
        <f t="shared" si="14"/>
        <v>43641.208333333328</v>
      </c>
      <c r="O238" s="19">
        <f t="shared" si="15"/>
        <v>43648.208333333328</v>
      </c>
      <c r="P238" t="b">
        <v>0</v>
      </c>
      <c r="Q238" t="b">
        <v>1</v>
      </c>
      <c r="R238" t="s">
        <v>23</v>
      </c>
      <c r="S238" t="s">
        <v>2033</v>
      </c>
      <c r="T238" t="s">
        <v>2034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>
        <f t="shared" si="12"/>
        <v>159</v>
      </c>
      <c r="G239" s="5" t="s">
        <v>20</v>
      </c>
      <c r="H239">
        <v>329</v>
      </c>
      <c r="I239">
        <f t="shared" si="13"/>
        <v>45.05</v>
      </c>
      <c r="J239" t="s">
        <v>21</v>
      </c>
      <c r="K239" t="s">
        <v>22</v>
      </c>
      <c r="L239">
        <v>1398402000</v>
      </c>
      <c r="M239">
        <v>1398574800</v>
      </c>
      <c r="N239" s="19">
        <f t="shared" si="14"/>
        <v>41754.208333333336</v>
      </c>
      <c r="O239" s="19">
        <f t="shared" si="15"/>
        <v>41756.208333333336</v>
      </c>
      <c r="P239" t="b">
        <v>0</v>
      </c>
      <c r="Q239" t="b">
        <v>0</v>
      </c>
      <c r="R239" t="s">
        <v>71</v>
      </c>
      <c r="S239" t="s">
        <v>2039</v>
      </c>
      <c r="T239" t="s">
        <v>2047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>
        <f t="shared" si="12"/>
        <v>422</v>
      </c>
      <c r="G240" s="5" t="s">
        <v>20</v>
      </c>
      <c r="H240">
        <v>97</v>
      </c>
      <c r="I240">
        <f t="shared" si="13"/>
        <v>104.52</v>
      </c>
      <c r="J240" t="s">
        <v>36</v>
      </c>
      <c r="K240" t="s">
        <v>37</v>
      </c>
      <c r="L240">
        <v>1513231200</v>
      </c>
      <c r="M240">
        <v>1515391200</v>
      </c>
      <c r="N240" s="19">
        <f t="shared" si="14"/>
        <v>43083.25</v>
      </c>
      <c r="O240" s="19">
        <f t="shared" si="15"/>
        <v>43108.25</v>
      </c>
      <c r="P240" t="b">
        <v>0</v>
      </c>
      <c r="Q240" t="b">
        <v>1</v>
      </c>
      <c r="R240" t="s">
        <v>33</v>
      </c>
      <c r="S240" t="s">
        <v>2037</v>
      </c>
      <c r="T240" t="s">
        <v>2038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>
        <f t="shared" si="12"/>
        <v>98</v>
      </c>
      <c r="G241" s="4" t="s">
        <v>14</v>
      </c>
      <c r="H241">
        <v>41</v>
      </c>
      <c r="I241">
        <f t="shared" si="13"/>
        <v>76.27</v>
      </c>
      <c r="J241" t="s">
        <v>21</v>
      </c>
      <c r="K241" t="s">
        <v>22</v>
      </c>
      <c r="L241">
        <v>1440824400</v>
      </c>
      <c r="M241">
        <v>1441170000</v>
      </c>
      <c r="N241" s="19">
        <f t="shared" si="14"/>
        <v>42245.208333333328</v>
      </c>
      <c r="O241" s="19">
        <f t="shared" si="15"/>
        <v>42249.208333333328</v>
      </c>
      <c r="P241" t="b">
        <v>0</v>
      </c>
      <c r="Q241" t="b">
        <v>0</v>
      </c>
      <c r="R241" t="s">
        <v>65</v>
      </c>
      <c r="S241" t="s">
        <v>2035</v>
      </c>
      <c r="T241" t="s">
        <v>2044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>
        <f t="shared" si="12"/>
        <v>419</v>
      </c>
      <c r="G242" s="5" t="s">
        <v>20</v>
      </c>
      <c r="H242">
        <v>1784</v>
      </c>
      <c r="I242">
        <f t="shared" si="13"/>
        <v>69.02</v>
      </c>
      <c r="J242" t="s">
        <v>21</v>
      </c>
      <c r="K242" t="s">
        <v>22</v>
      </c>
      <c r="L242">
        <v>1281070800</v>
      </c>
      <c r="M242">
        <v>1281157200</v>
      </c>
      <c r="N242" s="19">
        <f t="shared" si="14"/>
        <v>40396.208333333336</v>
      </c>
      <c r="O242" s="19">
        <f t="shared" si="15"/>
        <v>40397.208333333336</v>
      </c>
      <c r="P242" t="b">
        <v>0</v>
      </c>
      <c r="Q242" t="b">
        <v>0</v>
      </c>
      <c r="R242" t="s">
        <v>33</v>
      </c>
      <c r="S242" t="s">
        <v>2037</v>
      </c>
      <c r="T242" t="s">
        <v>2038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>
        <f t="shared" si="12"/>
        <v>102</v>
      </c>
      <c r="G243" s="5" t="s">
        <v>20</v>
      </c>
      <c r="H243">
        <v>1684</v>
      </c>
      <c r="I243">
        <f t="shared" si="13"/>
        <v>101.98</v>
      </c>
      <c r="J243" t="s">
        <v>26</v>
      </c>
      <c r="K243" t="s">
        <v>27</v>
      </c>
      <c r="L243">
        <v>1397365200</v>
      </c>
      <c r="M243">
        <v>1398229200</v>
      </c>
      <c r="N243" s="19">
        <f t="shared" si="14"/>
        <v>41742.208333333336</v>
      </c>
      <c r="O243" s="19">
        <f t="shared" si="15"/>
        <v>41752.208333333336</v>
      </c>
      <c r="P243" t="b">
        <v>0</v>
      </c>
      <c r="Q243" t="b">
        <v>1</v>
      </c>
      <c r="R243" t="s">
        <v>68</v>
      </c>
      <c r="S243" t="s">
        <v>2045</v>
      </c>
      <c r="T243" t="s">
        <v>2046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>
        <f t="shared" si="12"/>
        <v>128</v>
      </c>
      <c r="G244" s="5" t="s">
        <v>20</v>
      </c>
      <c r="H244">
        <v>250</v>
      </c>
      <c r="I244">
        <f t="shared" si="13"/>
        <v>42.92</v>
      </c>
      <c r="J244" t="s">
        <v>21</v>
      </c>
      <c r="K244" t="s">
        <v>22</v>
      </c>
      <c r="L244">
        <v>1494392400</v>
      </c>
      <c r="M244">
        <v>1495256400</v>
      </c>
      <c r="N244" s="19">
        <f t="shared" si="14"/>
        <v>42865.208333333328</v>
      </c>
      <c r="O244" s="19">
        <f t="shared" si="15"/>
        <v>42875.208333333328</v>
      </c>
      <c r="P244" t="b">
        <v>0</v>
      </c>
      <c r="Q244" t="b">
        <v>1</v>
      </c>
      <c r="R244" t="s">
        <v>23</v>
      </c>
      <c r="S244" t="s">
        <v>2033</v>
      </c>
      <c r="T244" t="s">
        <v>2034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>
        <f t="shared" si="12"/>
        <v>445</v>
      </c>
      <c r="G245" s="5" t="s">
        <v>20</v>
      </c>
      <c r="H245">
        <v>238</v>
      </c>
      <c r="I245">
        <f t="shared" si="13"/>
        <v>43.03</v>
      </c>
      <c r="J245" t="s">
        <v>21</v>
      </c>
      <c r="K245" t="s">
        <v>22</v>
      </c>
      <c r="L245">
        <v>1520143200</v>
      </c>
      <c r="M245">
        <v>1520402400</v>
      </c>
      <c r="N245" s="19">
        <f t="shared" si="14"/>
        <v>43163.25</v>
      </c>
      <c r="O245" s="19">
        <f t="shared" si="15"/>
        <v>43166.25</v>
      </c>
      <c r="P245" t="b">
        <v>0</v>
      </c>
      <c r="Q245" t="b">
        <v>0</v>
      </c>
      <c r="R245" t="s">
        <v>33</v>
      </c>
      <c r="S245" t="s">
        <v>2037</v>
      </c>
      <c r="T245" t="s">
        <v>2038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>
        <f t="shared" si="12"/>
        <v>570</v>
      </c>
      <c r="G246" s="5" t="s">
        <v>20</v>
      </c>
      <c r="H246">
        <v>53</v>
      </c>
      <c r="I246">
        <f t="shared" si="13"/>
        <v>75.25</v>
      </c>
      <c r="J246" t="s">
        <v>21</v>
      </c>
      <c r="K246" t="s">
        <v>22</v>
      </c>
      <c r="L246">
        <v>1405314000</v>
      </c>
      <c r="M246">
        <v>1409806800</v>
      </c>
      <c r="N246" s="19">
        <f t="shared" si="14"/>
        <v>41834.208333333336</v>
      </c>
      <c r="O246" s="19">
        <f t="shared" si="15"/>
        <v>41886.208333333336</v>
      </c>
      <c r="P246" t="b">
        <v>0</v>
      </c>
      <c r="Q246" t="b">
        <v>0</v>
      </c>
      <c r="R246" t="s">
        <v>33</v>
      </c>
      <c r="S246" t="s">
        <v>2037</v>
      </c>
      <c r="T246" t="s">
        <v>2038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>
        <f t="shared" si="12"/>
        <v>509</v>
      </c>
      <c r="G247" s="5" t="s">
        <v>20</v>
      </c>
      <c r="H247">
        <v>214</v>
      </c>
      <c r="I247">
        <f t="shared" si="13"/>
        <v>69.02</v>
      </c>
      <c r="J247" t="s">
        <v>21</v>
      </c>
      <c r="K247" t="s">
        <v>22</v>
      </c>
      <c r="L247">
        <v>1396846800</v>
      </c>
      <c r="M247">
        <v>1396933200</v>
      </c>
      <c r="N247" s="19">
        <f t="shared" si="14"/>
        <v>41736.208333333336</v>
      </c>
      <c r="O247" s="19">
        <f t="shared" si="15"/>
        <v>41737.208333333336</v>
      </c>
      <c r="P247" t="b">
        <v>0</v>
      </c>
      <c r="Q247" t="b">
        <v>0</v>
      </c>
      <c r="R247" t="s">
        <v>33</v>
      </c>
      <c r="S247" t="s">
        <v>2037</v>
      </c>
      <c r="T247" t="s">
        <v>2038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>
        <f t="shared" si="12"/>
        <v>326</v>
      </c>
      <c r="G248" s="5" t="s">
        <v>20</v>
      </c>
      <c r="H248">
        <v>222</v>
      </c>
      <c r="I248">
        <f t="shared" si="13"/>
        <v>65.989999999999995</v>
      </c>
      <c r="J248" t="s">
        <v>21</v>
      </c>
      <c r="K248" t="s">
        <v>22</v>
      </c>
      <c r="L248">
        <v>1375678800</v>
      </c>
      <c r="M248">
        <v>1376024400</v>
      </c>
      <c r="N248" s="19">
        <f t="shared" si="14"/>
        <v>41491.208333333336</v>
      </c>
      <c r="O248" s="19">
        <f t="shared" si="15"/>
        <v>41495.208333333336</v>
      </c>
      <c r="P248" t="b">
        <v>0</v>
      </c>
      <c r="Q248" t="b">
        <v>0</v>
      </c>
      <c r="R248" t="s">
        <v>28</v>
      </c>
      <c r="S248" t="s">
        <v>2035</v>
      </c>
      <c r="T248" t="s">
        <v>2036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>
        <f t="shared" si="12"/>
        <v>933</v>
      </c>
      <c r="G249" s="5" t="s">
        <v>20</v>
      </c>
      <c r="H249">
        <v>1884</v>
      </c>
      <c r="I249">
        <f t="shared" si="13"/>
        <v>98.01</v>
      </c>
      <c r="J249" t="s">
        <v>21</v>
      </c>
      <c r="K249" t="s">
        <v>22</v>
      </c>
      <c r="L249">
        <v>1482386400</v>
      </c>
      <c r="M249">
        <v>1483682400</v>
      </c>
      <c r="N249" s="19">
        <f t="shared" si="14"/>
        <v>42726.25</v>
      </c>
      <c r="O249" s="19">
        <f t="shared" si="15"/>
        <v>42741.25</v>
      </c>
      <c r="P249" t="b">
        <v>0</v>
      </c>
      <c r="Q249" t="b">
        <v>1</v>
      </c>
      <c r="R249" t="s">
        <v>119</v>
      </c>
      <c r="S249" t="s">
        <v>2045</v>
      </c>
      <c r="T249" t="s">
        <v>2051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>
        <f t="shared" si="12"/>
        <v>211</v>
      </c>
      <c r="G250" s="5" t="s">
        <v>20</v>
      </c>
      <c r="H250">
        <v>218</v>
      </c>
      <c r="I250">
        <f t="shared" si="13"/>
        <v>60.11</v>
      </c>
      <c r="J250" t="s">
        <v>26</v>
      </c>
      <c r="K250" t="s">
        <v>27</v>
      </c>
      <c r="L250">
        <v>1420005600</v>
      </c>
      <c r="M250">
        <v>1420437600</v>
      </c>
      <c r="N250" s="19">
        <f t="shared" si="14"/>
        <v>42004.25</v>
      </c>
      <c r="O250" s="19">
        <f t="shared" si="15"/>
        <v>42009.25</v>
      </c>
      <c r="P250" t="b">
        <v>0</v>
      </c>
      <c r="Q250" t="b">
        <v>0</v>
      </c>
      <c r="R250" t="s">
        <v>292</v>
      </c>
      <c r="S250" t="s">
        <v>2048</v>
      </c>
      <c r="T250" t="s">
        <v>2059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>
        <f t="shared" si="12"/>
        <v>273</v>
      </c>
      <c r="G251" s="5" t="s">
        <v>20</v>
      </c>
      <c r="H251">
        <v>6465</v>
      </c>
      <c r="I251">
        <f t="shared" si="13"/>
        <v>26</v>
      </c>
      <c r="J251" t="s">
        <v>21</v>
      </c>
      <c r="K251" t="s">
        <v>22</v>
      </c>
      <c r="L251">
        <v>1420178400</v>
      </c>
      <c r="M251">
        <v>1420783200</v>
      </c>
      <c r="N251" s="19">
        <f t="shared" si="14"/>
        <v>42006.25</v>
      </c>
      <c r="O251" s="19">
        <f t="shared" si="15"/>
        <v>42013.25</v>
      </c>
      <c r="P251" t="b">
        <v>0</v>
      </c>
      <c r="Q251" t="b">
        <v>0</v>
      </c>
      <c r="R251" t="s">
        <v>206</v>
      </c>
      <c r="S251" t="s">
        <v>2045</v>
      </c>
      <c r="T251" t="s">
        <v>2057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>
        <f t="shared" si="12"/>
        <v>3</v>
      </c>
      <c r="G252" s="4" t="s">
        <v>14</v>
      </c>
      <c r="H252">
        <v>1</v>
      </c>
      <c r="I252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s="19">
        <f t="shared" si="14"/>
        <v>40203.25</v>
      </c>
      <c r="O252" s="19">
        <f t="shared" si="15"/>
        <v>40238.25</v>
      </c>
      <c r="P252" t="b">
        <v>0</v>
      </c>
      <c r="Q252" t="b">
        <v>0</v>
      </c>
      <c r="R252" t="s">
        <v>23</v>
      </c>
      <c r="S252" t="s">
        <v>2033</v>
      </c>
      <c r="T252" t="s">
        <v>2034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>
        <f t="shared" si="12"/>
        <v>54</v>
      </c>
      <c r="G253" s="4" t="s">
        <v>14</v>
      </c>
      <c r="H253">
        <v>101</v>
      </c>
      <c r="I253">
        <f t="shared" si="13"/>
        <v>38.020000000000003</v>
      </c>
      <c r="J253" t="s">
        <v>21</v>
      </c>
      <c r="K253" t="s">
        <v>22</v>
      </c>
      <c r="L253">
        <v>1355032800</v>
      </c>
      <c r="M253">
        <v>1355205600</v>
      </c>
      <c r="N253" s="19">
        <f t="shared" si="14"/>
        <v>41252.25</v>
      </c>
      <c r="O253" s="19">
        <f t="shared" si="15"/>
        <v>41254.25</v>
      </c>
      <c r="P253" t="b">
        <v>0</v>
      </c>
      <c r="Q253" t="b">
        <v>0</v>
      </c>
      <c r="R253" t="s">
        <v>33</v>
      </c>
      <c r="S253" t="s">
        <v>2037</v>
      </c>
      <c r="T253" t="s">
        <v>2038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>
        <f t="shared" si="12"/>
        <v>626</v>
      </c>
      <c r="G254" s="5" t="s">
        <v>20</v>
      </c>
      <c r="H254">
        <v>59</v>
      </c>
      <c r="I254">
        <f t="shared" si="13"/>
        <v>106.15</v>
      </c>
      <c r="J254" t="s">
        <v>21</v>
      </c>
      <c r="K254" t="s">
        <v>22</v>
      </c>
      <c r="L254">
        <v>1382677200</v>
      </c>
      <c r="M254">
        <v>1383109200</v>
      </c>
      <c r="N254" s="19">
        <f t="shared" si="14"/>
        <v>41572.208333333336</v>
      </c>
      <c r="O254" s="19">
        <f t="shared" si="15"/>
        <v>41577.208333333336</v>
      </c>
      <c r="P254" t="b">
        <v>0</v>
      </c>
      <c r="Q254" t="b">
        <v>0</v>
      </c>
      <c r="R254" t="s">
        <v>33</v>
      </c>
      <c r="S254" t="s">
        <v>2037</v>
      </c>
      <c r="T254" t="s">
        <v>2038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>
        <f t="shared" si="12"/>
        <v>89</v>
      </c>
      <c r="G255" s="4" t="s">
        <v>14</v>
      </c>
      <c r="H255">
        <v>1335</v>
      </c>
      <c r="I255">
        <f t="shared" si="13"/>
        <v>81.02</v>
      </c>
      <c r="J255" t="s">
        <v>15</v>
      </c>
      <c r="K255" t="s">
        <v>16</v>
      </c>
      <c r="L255">
        <v>1302238800</v>
      </c>
      <c r="M255">
        <v>1303275600</v>
      </c>
      <c r="N255" s="19">
        <f t="shared" si="14"/>
        <v>40641.208333333336</v>
      </c>
      <c r="O255" s="19">
        <f t="shared" si="15"/>
        <v>40653.208333333336</v>
      </c>
      <c r="P255" t="b">
        <v>0</v>
      </c>
      <c r="Q255" t="b">
        <v>0</v>
      </c>
      <c r="R255" t="s">
        <v>53</v>
      </c>
      <c r="S255" t="s">
        <v>2039</v>
      </c>
      <c r="T255" t="s">
        <v>2042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>
        <f t="shared" si="12"/>
        <v>185</v>
      </c>
      <c r="G256" s="5" t="s">
        <v>20</v>
      </c>
      <c r="H256">
        <v>88</v>
      </c>
      <c r="I256">
        <f t="shared" si="13"/>
        <v>96.65</v>
      </c>
      <c r="J256" t="s">
        <v>21</v>
      </c>
      <c r="K256" t="s">
        <v>22</v>
      </c>
      <c r="L256">
        <v>1487656800</v>
      </c>
      <c r="M256">
        <v>1487829600</v>
      </c>
      <c r="N256" s="19">
        <f t="shared" si="14"/>
        <v>42787.25</v>
      </c>
      <c r="O256" s="19">
        <f t="shared" si="15"/>
        <v>42789.25</v>
      </c>
      <c r="P256" t="b">
        <v>0</v>
      </c>
      <c r="Q256" t="b">
        <v>0</v>
      </c>
      <c r="R256" t="s">
        <v>68</v>
      </c>
      <c r="S256" t="s">
        <v>2045</v>
      </c>
      <c r="T256" t="s">
        <v>2046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>
        <f t="shared" si="12"/>
        <v>120</v>
      </c>
      <c r="G257" s="5" t="s">
        <v>20</v>
      </c>
      <c r="H257">
        <v>1697</v>
      </c>
      <c r="I257">
        <f t="shared" si="13"/>
        <v>57</v>
      </c>
      <c r="J257" t="s">
        <v>21</v>
      </c>
      <c r="K257" t="s">
        <v>22</v>
      </c>
      <c r="L257">
        <v>1297836000</v>
      </c>
      <c r="M257">
        <v>1298268000</v>
      </c>
      <c r="N257" s="19">
        <f t="shared" si="14"/>
        <v>40590.25</v>
      </c>
      <c r="O257" s="19">
        <f t="shared" si="15"/>
        <v>40595.25</v>
      </c>
      <c r="P257" t="b">
        <v>0</v>
      </c>
      <c r="Q257" t="b">
        <v>1</v>
      </c>
      <c r="R257" t="s">
        <v>23</v>
      </c>
      <c r="S257" t="s">
        <v>2033</v>
      </c>
      <c r="T257" t="s">
        <v>2034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>
        <f t="shared" si="12"/>
        <v>23</v>
      </c>
      <c r="G258" s="4" t="s">
        <v>14</v>
      </c>
      <c r="H258">
        <v>15</v>
      </c>
      <c r="I258">
        <f t="shared" si="13"/>
        <v>63.93</v>
      </c>
      <c r="J258" t="s">
        <v>40</v>
      </c>
      <c r="K258" t="s">
        <v>41</v>
      </c>
      <c r="L258">
        <v>1453615200</v>
      </c>
      <c r="M258">
        <v>1456812000</v>
      </c>
      <c r="N258" s="19">
        <f t="shared" si="14"/>
        <v>42393.25</v>
      </c>
      <c r="O258" s="19">
        <f t="shared" si="15"/>
        <v>42430.25</v>
      </c>
      <c r="P258" t="b">
        <v>0</v>
      </c>
      <c r="Q258" t="b">
        <v>0</v>
      </c>
      <c r="R258" t="s">
        <v>23</v>
      </c>
      <c r="S258" t="s">
        <v>2033</v>
      </c>
      <c r="T258" t="s">
        <v>2034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>
        <f t="shared" ref="F259:F322" si="16">ROUND(E259/D259*100,0)</f>
        <v>146</v>
      </c>
      <c r="G259" s="5" t="s">
        <v>20</v>
      </c>
      <c r="H259">
        <v>92</v>
      </c>
      <c r="I259">
        <f t="shared" ref="I259:I322" si="17">ROUND(E259/H259,2)</f>
        <v>90.46</v>
      </c>
      <c r="J259" t="s">
        <v>21</v>
      </c>
      <c r="K259" t="s">
        <v>22</v>
      </c>
      <c r="L259">
        <v>1362463200</v>
      </c>
      <c r="M259">
        <v>1363669200</v>
      </c>
      <c r="N259" s="19">
        <f t="shared" ref="N259:N322" si="18">(((L259/60)/60)/24)+DATE(1970,1,1)</f>
        <v>41338.25</v>
      </c>
      <c r="O259" s="19">
        <f t="shared" ref="O259:O322" si="19">(((M259/60)/60)/24)+DATE(1970,1,1)</f>
        <v>41352.208333333336</v>
      </c>
      <c r="P259" t="b">
        <v>0</v>
      </c>
      <c r="Q259" t="b">
        <v>0</v>
      </c>
      <c r="R259" t="s">
        <v>33</v>
      </c>
      <c r="S259" t="s">
        <v>2037</v>
      </c>
      <c r="T259" t="s">
        <v>2038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>
        <f t="shared" si="16"/>
        <v>268</v>
      </c>
      <c r="G260" s="5" t="s">
        <v>20</v>
      </c>
      <c r="H260">
        <v>186</v>
      </c>
      <c r="I260">
        <f t="shared" si="17"/>
        <v>72.17</v>
      </c>
      <c r="J260" t="s">
        <v>21</v>
      </c>
      <c r="K260" t="s">
        <v>22</v>
      </c>
      <c r="L260">
        <v>1481176800</v>
      </c>
      <c r="M260">
        <v>1482904800</v>
      </c>
      <c r="N260" s="19">
        <f t="shared" si="18"/>
        <v>42712.25</v>
      </c>
      <c r="O260" s="19">
        <f t="shared" si="19"/>
        <v>42732.25</v>
      </c>
      <c r="P260" t="b">
        <v>0</v>
      </c>
      <c r="Q260" t="b">
        <v>1</v>
      </c>
      <c r="R260" t="s">
        <v>33</v>
      </c>
      <c r="S260" t="s">
        <v>2037</v>
      </c>
      <c r="T260" t="s">
        <v>2038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>
        <f t="shared" si="16"/>
        <v>598</v>
      </c>
      <c r="G261" s="5" t="s">
        <v>20</v>
      </c>
      <c r="H261">
        <v>138</v>
      </c>
      <c r="I261">
        <f t="shared" si="17"/>
        <v>77.930000000000007</v>
      </c>
      <c r="J261" t="s">
        <v>21</v>
      </c>
      <c r="K261" t="s">
        <v>22</v>
      </c>
      <c r="L261">
        <v>1354946400</v>
      </c>
      <c r="M261">
        <v>1356588000</v>
      </c>
      <c r="N261" s="19">
        <f t="shared" si="18"/>
        <v>41251.25</v>
      </c>
      <c r="O261" s="19">
        <f t="shared" si="19"/>
        <v>41270.25</v>
      </c>
      <c r="P261" t="b">
        <v>1</v>
      </c>
      <c r="Q261" t="b">
        <v>0</v>
      </c>
      <c r="R261" t="s">
        <v>122</v>
      </c>
      <c r="S261" t="s">
        <v>2052</v>
      </c>
      <c r="T261" t="s">
        <v>2053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>
        <f t="shared" si="16"/>
        <v>158</v>
      </c>
      <c r="G262" s="5" t="s">
        <v>20</v>
      </c>
      <c r="H262">
        <v>261</v>
      </c>
      <c r="I262">
        <f t="shared" si="17"/>
        <v>38.07</v>
      </c>
      <c r="J262" t="s">
        <v>21</v>
      </c>
      <c r="K262" t="s">
        <v>22</v>
      </c>
      <c r="L262">
        <v>1348808400</v>
      </c>
      <c r="M262">
        <v>1349845200</v>
      </c>
      <c r="N262" s="19">
        <f t="shared" si="18"/>
        <v>41180.208333333336</v>
      </c>
      <c r="O262" s="19">
        <f t="shared" si="19"/>
        <v>41192.208333333336</v>
      </c>
      <c r="P262" t="b">
        <v>0</v>
      </c>
      <c r="Q262" t="b">
        <v>0</v>
      </c>
      <c r="R262" t="s">
        <v>23</v>
      </c>
      <c r="S262" t="s">
        <v>2033</v>
      </c>
      <c r="T262" t="s">
        <v>2034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>
        <f t="shared" si="16"/>
        <v>31</v>
      </c>
      <c r="G263" s="4" t="s">
        <v>14</v>
      </c>
      <c r="H263">
        <v>454</v>
      </c>
      <c r="I263">
        <f t="shared" si="17"/>
        <v>57.94</v>
      </c>
      <c r="J263" t="s">
        <v>21</v>
      </c>
      <c r="K263" t="s">
        <v>22</v>
      </c>
      <c r="L263">
        <v>1282712400</v>
      </c>
      <c r="M263">
        <v>1283058000</v>
      </c>
      <c r="N263" s="19">
        <f t="shared" si="18"/>
        <v>40415.208333333336</v>
      </c>
      <c r="O263" s="19">
        <f t="shared" si="19"/>
        <v>40419.208333333336</v>
      </c>
      <c r="P263" t="b">
        <v>0</v>
      </c>
      <c r="Q263" t="b">
        <v>1</v>
      </c>
      <c r="R263" t="s">
        <v>23</v>
      </c>
      <c r="S263" t="s">
        <v>2033</v>
      </c>
      <c r="T263" t="s">
        <v>2034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>
        <f t="shared" si="16"/>
        <v>313</v>
      </c>
      <c r="G264" s="5" t="s">
        <v>20</v>
      </c>
      <c r="H264">
        <v>107</v>
      </c>
      <c r="I264">
        <f t="shared" si="17"/>
        <v>49.79</v>
      </c>
      <c r="J264" t="s">
        <v>21</v>
      </c>
      <c r="K264" t="s">
        <v>22</v>
      </c>
      <c r="L264">
        <v>1301979600</v>
      </c>
      <c r="M264">
        <v>1304226000</v>
      </c>
      <c r="N264" s="19">
        <f t="shared" si="18"/>
        <v>40638.208333333336</v>
      </c>
      <c r="O264" s="19">
        <f t="shared" si="19"/>
        <v>40664.208333333336</v>
      </c>
      <c r="P264" t="b">
        <v>0</v>
      </c>
      <c r="Q264" t="b">
        <v>1</v>
      </c>
      <c r="R264" t="s">
        <v>60</v>
      </c>
      <c r="S264" t="s">
        <v>2033</v>
      </c>
      <c r="T264" t="s">
        <v>2043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>
        <f t="shared" si="16"/>
        <v>371</v>
      </c>
      <c r="G265" s="5" t="s">
        <v>20</v>
      </c>
      <c r="H265">
        <v>199</v>
      </c>
      <c r="I265">
        <f t="shared" si="17"/>
        <v>54.05</v>
      </c>
      <c r="J265" t="s">
        <v>21</v>
      </c>
      <c r="K265" t="s">
        <v>22</v>
      </c>
      <c r="L265">
        <v>1263016800</v>
      </c>
      <c r="M265">
        <v>1263016800</v>
      </c>
      <c r="N265" s="19">
        <f t="shared" si="18"/>
        <v>40187.25</v>
      </c>
      <c r="O265" s="19">
        <f t="shared" si="19"/>
        <v>40187.25</v>
      </c>
      <c r="P265" t="b">
        <v>0</v>
      </c>
      <c r="Q265" t="b">
        <v>0</v>
      </c>
      <c r="R265" t="s">
        <v>122</v>
      </c>
      <c r="S265" t="s">
        <v>2052</v>
      </c>
      <c r="T265" t="s">
        <v>2053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>
        <f t="shared" si="16"/>
        <v>363</v>
      </c>
      <c r="G266" s="5" t="s">
        <v>20</v>
      </c>
      <c r="H266">
        <v>5512</v>
      </c>
      <c r="I266">
        <f t="shared" si="17"/>
        <v>30</v>
      </c>
      <c r="J266" t="s">
        <v>21</v>
      </c>
      <c r="K266" t="s">
        <v>22</v>
      </c>
      <c r="L266">
        <v>1360648800</v>
      </c>
      <c r="M266">
        <v>1362031200</v>
      </c>
      <c r="N266" s="19">
        <f t="shared" si="18"/>
        <v>41317.25</v>
      </c>
      <c r="O266" s="19">
        <f t="shared" si="19"/>
        <v>41333.25</v>
      </c>
      <c r="P266" t="b">
        <v>0</v>
      </c>
      <c r="Q266" t="b">
        <v>0</v>
      </c>
      <c r="R266" t="s">
        <v>33</v>
      </c>
      <c r="S266" t="s">
        <v>2037</v>
      </c>
      <c r="T266" t="s">
        <v>2038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>
        <f t="shared" si="16"/>
        <v>123</v>
      </c>
      <c r="G267" s="5" t="s">
        <v>20</v>
      </c>
      <c r="H267">
        <v>86</v>
      </c>
      <c r="I267">
        <f t="shared" si="17"/>
        <v>70.13</v>
      </c>
      <c r="J267" t="s">
        <v>21</v>
      </c>
      <c r="K267" t="s">
        <v>22</v>
      </c>
      <c r="L267">
        <v>1451800800</v>
      </c>
      <c r="M267">
        <v>1455602400</v>
      </c>
      <c r="N267" s="19">
        <f t="shared" si="18"/>
        <v>42372.25</v>
      </c>
      <c r="O267" s="19">
        <f t="shared" si="19"/>
        <v>42416.25</v>
      </c>
      <c r="P267" t="b">
        <v>0</v>
      </c>
      <c r="Q267" t="b">
        <v>0</v>
      </c>
      <c r="R267" t="s">
        <v>33</v>
      </c>
      <c r="S267" t="s">
        <v>2037</v>
      </c>
      <c r="T267" t="s">
        <v>2038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>
        <f t="shared" si="16"/>
        <v>77</v>
      </c>
      <c r="G268" s="4" t="s">
        <v>14</v>
      </c>
      <c r="H268">
        <v>3182</v>
      </c>
      <c r="I268">
        <f t="shared" si="17"/>
        <v>27</v>
      </c>
      <c r="J268" t="s">
        <v>107</v>
      </c>
      <c r="K268" t="s">
        <v>108</v>
      </c>
      <c r="L268">
        <v>1415340000</v>
      </c>
      <c r="M268">
        <v>1418191200</v>
      </c>
      <c r="N268" s="19">
        <f t="shared" si="18"/>
        <v>41950.25</v>
      </c>
      <c r="O268" s="19">
        <f t="shared" si="19"/>
        <v>41983.25</v>
      </c>
      <c r="P268" t="b">
        <v>0</v>
      </c>
      <c r="Q268" t="b">
        <v>1</v>
      </c>
      <c r="R268" t="s">
        <v>159</v>
      </c>
      <c r="S268" t="s">
        <v>2033</v>
      </c>
      <c r="T268" t="s">
        <v>2056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>
        <f t="shared" si="16"/>
        <v>234</v>
      </c>
      <c r="G269" s="5" t="s">
        <v>20</v>
      </c>
      <c r="H269">
        <v>2768</v>
      </c>
      <c r="I269">
        <f t="shared" si="17"/>
        <v>51.99</v>
      </c>
      <c r="J269" t="s">
        <v>26</v>
      </c>
      <c r="K269" t="s">
        <v>27</v>
      </c>
      <c r="L269">
        <v>1351054800</v>
      </c>
      <c r="M269">
        <v>1352440800</v>
      </c>
      <c r="N269" s="19">
        <f t="shared" si="18"/>
        <v>41206.208333333336</v>
      </c>
      <c r="O269" s="19">
        <f t="shared" si="19"/>
        <v>41222.25</v>
      </c>
      <c r="P269" t="b">
        <v>0</v>
      </c>
      <c r="Q269" t="b">
        <v>0</v>
      </c>
      <c r="R269" t="s">
        <v>33</v>
      </c>
      <c r="S269" t="s">
        <v>2037</v>
      </c>
      <c r="T269" t="s">
        <v>2038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>
        <f t="shared" si="16"/>
        <v>181</v>
      </c>
      <c r="G270" s="5" t="s">
        <v>20</v>
      </c>
      <c r="H270">
        <v>48</v>
      </c>
      <c r="I270">
        <f t="shared" si="17"/>
        <v>56.42</v>
      </c>
      <c r="J270" t="s">
        <v>21</v>
      </c>
      <c r="K270" t="s">
        <v>22</v>
      </c>
      <c r="L270">
        <v>1349326800</v>
      </c>
      <c r="M270">
        <v>1353304800</v>
      </c>
      <c r="N270" s="19">
        <f t="shared" si="18"/>
        <v>41186.208333333336</v>
      </c>
      <c r="O270" s="19">
        <f t="shared" si="19"/>
        <v>41232.25</v>
      </c>
      <c r="P270" t="b">
        <v>0</v>
      </c>
      <c r="Q270" t="b">
        <v>0</v>
      </c>
      <c r="R270" t="s">
        <v>42</v>
      </c>
      <c r="S270" t="s">
        <v>2039</v>
      </c>
      <c r="T270" t="s">
        <v>2040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>
        <f t="shared" si="16"/>
        <v>253</v>
      </c>
      <c r="G271" s="5" t="s">
        <v>20</v>
      </c>
      <c r="H271">
        <v>87</v>
      </c>
      <c r="I271">
        <f t="shared" si="17"/>
        <v>101.63</v>
      </c>
      <c r="J271" t="s">
        <v>21</v>
      </c>
      <c r="K271" t="s">
        <v>22</v>
      </c>
      <c r="L271">
        <v>1548914400</v>
      </c>
      <c r="M271">
        <v>1550728800</v>
      </c>
      <c r="N271" s="19">
        <f t="shared" si="18"/>
        <v>43496.25</v>
      </c>
      <c r="O271" s="19">
        <f t="shared" si="19"/>
        <v>43517.25</v>
      </c>
      <c r="P271" t="b">
        <v>0</v>
      </c>
      <c r="Q271" t="b">
        <v>0</v>
      </c>
      <c r="R271" t="s">
        <v>269</v>
      </c>
      <c r="S271" t="s">
        <v>2039</v>
      </c>
      <c r="T271" t="s">
        <v>2058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>
        <f t="shared" si="16"/>
        <v>27</v>
      </c>
      <c r="G272" s="7" t="s">
        <v>74</v>
      </c>
      <c r="H272">
        <v>1890</v>
      </c>
      <c r="I272">
        <f t="shared" si="17"/>
        <v>25.01</v>
      </c>
      <c r="J272" t="s">
        <v>21</v>
      </c>
      <c r="K272" t="s">
        <v>22</v>
      </c>
      <c r="L272">
        <v>1291269600</v>
      </c>
      <c r="M272">
        <v>1291442400</v>
      </c>
      <c r="N272" s="19">
        <f t="shared" si="18"/>
        <v>40514.25</v>
      </c>
      <c r="O272" s="19">
        <f t="shared" si="19"/>
        <v>40516.25</v>
      </c>
      <c r="P272" t="b">
        <v>0</v>
      </c>
      <c r="Q272" t="b">
        <v>0</v>
      </c>
      <c r="R272" t="s">
        <v>89</v>
      </c>
      <c r="S272" t="s">
        <v>2048</v>
      </c>
      <c r="T272" t="s">
        <v>2049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>
        <f t="shared" si="16"/>
        <v>1</v>
      </c>
      <c r="G273" s="6" t="s">
        <v>47</v>
      </c>
      <c r="H273">
        <v>61</v>
      </c>
      <c r="I273">
        <f t="shared" si="17"/>
        <v>32.020000000000003</v>
      </c>
      <c r="J273" t="s">
        <v>21</v>
      </c>
      <c r="K273" t="s">
        <v>22</v>
      </c>
      <c r="L273">
        <v>1449468000</v>
      </c>
      <c r="M273">
        <v>1452146400</v>
      </c>
      <c r="N273" s="19">
        <f t="shared" si="18"/>
        <v>42345.25</v>
      </c>
      <c r="O273" s="19">
        <f t="shared" si="19"/>
        <v>42376.25</v>
      </c>
      <c r="P273" t="b">
        <v>0</v>
      </c>
      <c r="Q273" t="b">
        <v>0</v>
      </c>
      <c r="R273" t="s">
        <v>122</v>
      </c>
      <c r="S273" t="s">
        <v>2052</v>
      </c>
      <c r="T273" t="s">
        <v>2053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>
        <f t="shared" si="16"/>
        <v>304</v>
      </c>
      <c r="G274" s="5" t="s">
        <v>20</v>
      </c>
      <c r="H274">
        <v>1894</v>
      </c>
      <c r="I274">
        <f t="shared" si="17"/>
        <v>82.02</v>
      </c>
      <c r="J274" t="s">
        <v>21</v>
      </c>
      <c r="K274" t="s">
        <v>22</v>
      </c>
      <c r="L274">
        <v>1562734800</v>
      </c>
      <c r="M274">
        <v>1564894800</v>
      </c>
      <c r="N274" s="19">
        <f t="shared" si="18"/>
        <v>43656.208333333328</v>
      </c>
      <c r="O274" s="19">
        <f t="shared" si="19"/>
        <v>43681.208333333328</v>
      </c>
      <c r="P274" t="b">
        <v>0</v>
      </c>
      <c r="Q274" t="b">
        <v>1</v>
      </c>
      <c r="R274" t="s">
        <v>33</v>
      </c>
      <c r="S274" t="s">
        <v>2037</v>
      </c>
      <c r="T274" t="s">
        <v>2038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>
        <f t="shared" si="16"/>
        <v>137</v>
      </c>
      <c r="G275" s="5" t="s">
        <v>20</v>
      </c>
      <c r="H275">
        <v>282</v>
      </c>
      <c r="I275">
        <f t="shared" si="17"/>
        <v>37.96</v>
      </c>
      <c r="J275" t="s">
        <v>15</v>
      </c>
      <c r="K275" t="s">
        <v>16</v>
      </c>
      <c r="L275">
        <v>1505624400</v>
      </c>
      <c r="M275">
        <v>1505883600</v>
      </c>
      <c r="N275" s="19">
        <f t="shared" si="18"/>
        <v>42995.208333333328</v>
      </c>
      <c r="O275" s="19">
        <f t="shared" si="19"/>
        <v>42998.208333333328</v>
      </c>
      <c r="P275" t="b">
        <v>0</v>
      </c>
      <c r="Q275" t="b">
        <v>0</v>
      </c>
      <c r="R275" t="s">
        <v>33</v>
      </c>
      <c r="S275" t="s">
        <v>2037</v>
      </c>
      <c r="T275" t="s">
        <v>2038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>
        <f t="shared" si="16"/>
        <v>32</v>
      </c>
      <c r="G276" s="4" t="s">
        <v>14</v>
      </c>
      <c r="H276">
        <v>15</v>
      </c>
      <c r="I276">
        <f t="shared" si="17"/>
        <v>51.53</v>
      </c>
      <c r="J276" t="s">
        <v>21</v>
      </c>
      <c r="K276" t="s">
        <v>22</v>
      </c>
      <c r="L276">
        <v>1509948000</v>
      </c>
      <c r="M276">
        <v>1510380000</v>
      </c>
      <c r="N276" s="19">
        <f t="shared" si="18"/>
        <v>43045.25</v>
      </c>
      <c r="O276" s="19">
        <f t="shared" si="19"/>
        <v>43050.25</v>
      </c>
      <c r="P276" t="b">
        <v>0</v>
      </c>
      <c r="Q276" t="b">
        <v>0</v>
      </c>
      <c r="R276" t="s">
        <v>33</v>
      </c>
      <c r="S276" t="s">
        <v>2037</v>
      </c>
      <c r="T276" t="s">
        <v>2038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>
        <f t="shared" si="16"/>
        <v>242</v>
      </c>
      <c r="G277" s="5" t="s">
        <v>20</v>
      </c>
      <c r="H277">
        <v>116</v>
      </c>
      <c r="I277">
        <f t="shared" si="17"/>
        <v>81.2</v>
      </c>
      <c r="J277" t="s">
        <v>21</v>
      </c>
      <c r="K277" t="s">
        <v>22</v>
      </c>
      <c r="L277">
        <v>1554526800</v>
      </c>
      <c r="M277">
        <v>1555218000</v>
      </c>
      <c r="N277" s="19">
        <f t="shared" si="18"/>
        <v>43561.208333333328</v>
      </c>
      <c r="O277" s="19">
        <f t="shared" si="19"/>
        <v>43569.208333333328</v>
      </c>
      <c r="P277" t="b">
        <v>0</v>
      </c>
      <c r="Q277" t="b">
        <v>0</v>
      </c>
      <c r="R277" t="s">
        <v>206</v>
      </c>
      <c r="S277" t="s">
        <v>2045</v>
      </c>
      <c r="T277" t="s">
        <v>2057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>
        <f t="shared" si="16"/>
        <v>97</v>
      </c>
      <c r="G278" s="4" t="s">
        <v>14</v>
      </c>
      <c r="H278">
        <v>133</v>
      </c>
      <c r="I278">
        <f t="shared" si="17"/>
        <v>40.03</v>
      </c>
      <c r="J278" t="s">
        <v>21</v>
      </c>
      <c r="K278" t="s">
        <v>22</v>
      </c>
      <c r="L278">
        <v>1334811600</v>
      </c>
      <c r="M278">
        <v>1335243600</v>
      </c>
      <c r="N278" s="19">
        <f t="shared" si="18"/>
        <v>41018.208333333336</v>
      </c>
      <c r="O278" s="19">
        <f t="shared" si="19"/>
        <v>41023.208333333336</v>
      </c>
      <c r="P278" t="b">
        <v>0</v>
      </c>
      <c r="Q278" t="b">
        <v>1</v>
      </c>
      <c r="R278" t="s">
        <v>89</v>
      </c>
      <c r="S278" t="s">
        <v>2048</v>
      </c>
      <c r="T278" t="s">
        <v>2049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>
        <f t="shared" si="16"/>
        <v>1066</v>
      </c>
      <c r="G279" s="5" t="s">
        <v>20</v>
      </c>
      <c r="H279">
        <v>83</v>
      </c>
      <c r="I279">
        <f t="shared" si="17"/>
        <v>89.94</v>
      </c>
      <c r="J279" t="s">
        <v>21</v>
      </c>
      <c r="K279" t="s">
        <v>22</v>
      </c>
      <c r="L279">
        <v>1279515600</v>
      </c>
      <c r="M279">
        <v>1279688400</v>
      </c>
      <c r="N279" s="19">
        <f t="shared" si="18"/>
        <v>40378.208333333336</v>
      </c>
      <c r="O279" s="19">
        <f t="shared" si="19"/>
        <v>40380.208333333336</v>
      </c>
      <c r="P279" t="b">
        <v>0</v>
      </c>
      <c r="Q279" t="b">
        <v>0</v>
      </c>
      <c r="R279" t="s">
        <v>33</v>
      </c>
      <c r="S279" t="s">
        <v>2037</v>
      </c>
      <c r="T279" t="s">
        <v>2038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>
        <f t="shared" si="16"/>
        <v>326</v>
      </c>
      <c r="G280" s="5" t="s">
        <v>20</v>
      </c>
      <c r="H280">
        <v>91</v>
      </c>
      <c r="I280">
        <f t="shared" si="17"/>
        <v>96.69</v>
      </c>
      <c r="J280" t="s">
        <v>21</v>
      </c>
      <c r="K280" t="s">
        <v>22</v>
      </c>
      <c r="L280">
        <v>1353909600</v>
      </c>
      <c r="M280">
        <v>1356069600</v>
      </c>
      <c r="N280" s="19">
        <f t="shared" si="18"/>
        <v>41239.25</v>
      </c>
      <c r="O280" s="19">
        <f t="shared" si="19"/>
        <v>41264.25</v>
      </c>
      <c r="P280" t="b">
        <v>0</v>
      </c>
      <c r="Q280" t="b">
        <v>0</v>
      </c>
      <c r="R280" t="s">
        <v>28</v>
      </c>
      <c r="S280" t="s">
        <v>2035</v>
      </c>
      <c r="T280" t="s">
        <v>2036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>
        <f t="shared" si="16"/>
        <v>171</v>
      </c>
      <c r="G281" s="5" t="s">
        <v>20</v>
      </c>
      <c r="H281">
        <v>546</v>
      </c>
      <c r="I281">
        <f t="shared" si="17"/>
        <v>25.01</v>
      </c>
      <c r="J281" t="s">
        <v>21</v>
      </c>
      <c r="K281" t="s">
        <v>22</v>
      </c>
      <c r="L281">
        <v>1535950800</v>
      </c>
      <c r="M281">
        <v>1536210000</v>
      </c>
      <c r="N281" s="19">
        <f t="shared" si="18"/>
        <v>43346.208333333328</v>
      </c>
      <c r="O281" s="19">
        <f t="shared" si="19"/>
        <v>43349.208333333328</v>
      </c>
      <c r="P281" t="b">
        <v>0</v>
      </c>
      <c r="Q281" t="b">
        <v>0</v>
      </c>
      <c r="R281" t="s">
        <v>33</v>
      </c>
      <c r="S281" t="s">
        <v>2037</v>
      </c>
      <c r="T281" t="s">
        <v>2038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>
        <f t="shared" si="16"/>
        <v>581</v>
      </c>
      <c r="G282" s="5" t="s">
        <v>20</v>
      </c>
      <c r="H282">
        <v>393</v>
      </c>
      <c r="I282">
        <f t="shared" si="17"/>
        <v>36.99</v>
      </c>
      <c r="J282" t="s">
        <v>21</v>
      </c>
      <c r="K282" t="s">
        <v>22</v>
      </c>
      <c r="L282">
        <v>1511244000</v>
      </c>
      <c r="M282">
        <v>1511762400</v>
      </c>
      <c r="N282" s="19">
        <f t="shared" si="18"/>
        <v>43060.25</v>
      </c>
      <c r="O282" s="19">
        <f t="shared" si="19"/>
        <v>43066.25</v>
      </c>
      <c r="P282" t="b">
        <v>0</v>
      </c>
      <c r="Q282" t="b">
        <v>0</v>
      </c>
      <c r="R282" t="s">
        <v>71</v>
      </c>
      <c r="S282" t="s">
        <v>2039</v>
      </c>
      <c r="T282" t="s">
        <v>2047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>
        <f t="shared" si="16"/>
        <v>92</v>
      </c>
      <c r="G283" s="4" t="s">
        <v>14</v>
      </c>
      <c r="H283">
        <v>2062</v>
      </c>
      <c r="I283">
        <f t="shared" si="17"/>
        <v>73.010000000000005</v>
      </c>
      <c r="J283" t="s">
        <v>21</v>
      </c>
      <c r="K283" t="s">
        <v>22</v>
      </c>
      <c r="L283">
        <v>1331445600</v>
      </c>
      <c r="M283">
        <v>1333256400</v>
      </c>
      <c r="N283" s="19">
        <f t="shared" si="18"/>
        <v>40979.25</v>
      </c>
      <c r="O283" s="19">
        <f t="shared" si="19"/>
        <v>41000.208333333336</v>
      </c>
      <c r="P283" t="b">
        <v>0</v>
      </c>
      <c r="Q283" t="b">
        <v>1</v>
      </c>
      <c r="R283" t="s">
        <v>33</v>
      </c>
      <c r="S283" t="s">
        <v>2037</v>
      </c>
      <c r="T283" t="s">
        <v>2038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>
        <f t="shared" si="16"/>
        <v>108</v>
      </c>
      <c r="G284" s="5" t="s">
        <v>20</v>
      </c>
      <c r="H284">
        <v>133</v>
      </c>
      <c r="I284">
        <f t="shared" si="17"/>
        <v>68.239999999999995</v>
      </c>
      <c r="J284" t="s">
        <v>21</v>
      </c>
      <c r="K284" t="s">
        <v>22</v>
      </c>
      <c r="L284">
        <v>1480226400</v>
      </c>
      <c r="M284">
        <v>1480744800</v>
      </c>
      <c r="N284" s="19">
        <f t="shared" si="18"/>
        <v>42701.25</v>
      </c>
      <c r="O284" s="19">
        <f t="shared" si="19"/>
        <v>42707.25</v>
      </c>
      <c r="P284" t="b">
        <v>0</v>
      </c>
      <c r="Q284" t="b">
        <v>1</v>
      </c>
      <c r="R284" t="s">
        <v>269</v>
      </c>
      <c r="S284" t="s">
        <v>2039</v>
      </c>
      <c r="T284" t="s">
        <v>2058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>
        <f t="shared" si="16"/>
        <v>19</v>
      </c>
      <c r="G285" s="4" t="s">
        <v>14</v>
      </c>
      <c r="H285">
        <v>29</v>
      </c>
      <c r="I285">
        <f t="shared" si="17"/>
        <v>52.31</v>
      </c>
      <c r="J285" t="s">
        <v>36</v>
      </c>
      <c r="K285" t="s">
        <v>37</v>
      </c>
      <c r="L285">
        <v>1464584400</v>
      </c>
      <c r="M285">
        <v>1465016400</v>
      </c>
      <c r="N285" s="19">
        <f t="shared" si="18"/>
        <v>42520.208333333328</v>
      </c>
      <c r="O285" s="19">
        <f t="shared" si="19"/>
        <v>42525.208333333328</v>
      </c>
      <c r="P285" t="b">
        <v>0</v>
      </c>
      <c r="Q285" t="b">
        <v>0</v>
      </c>
      <c r="R285" t="s">
        <v>23</v>
      </c>
      <c r="S285" t="s">
        <v>2033</v>
      </c>
      <c r="T285" t="s">
        <v>2034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>
        <f t="shared" si="16"/>
        <v>83</v>
      </c>
      <c r="G286" s="4" t="s">
        <v>14</v>
      </c>
      <c r="H286">
        <v>132</v>
      </c>
      <c r="I286">
        <f t="shared" si="17"/>
        <v>61.77</v>
      </c>
      <c r="J286" t="s">
        <v>21</v>
      </c>
      <c r="K286" t="s">
        <v>22</v>
      </c>
      <c r="L286">
        <v>1335848400</v>
      </c>
      <c r="M286">
        <v>1336280400</v>
      </c>
      <c r="N286" s="19">
        <f t="shared" si="18"/>
        <v>41030.208333333336</v>
      </c>
      <c r="O286" s="19">
        <f t="shared" si="19"/>
        <v>41035.208333333336</v>
      </c>
      <c r="P286" t="b">
        <v>0</v>
      </c>
      <c r="Q286" t="b">
        <v>0</v>
      </c>
      <c r="R286" t="s">
        <v>28</v>
      </c>
      <c r="S286" t="s">
        <v>2035</v>
      </c>
      <c r="T286" t="s">
        <v>2036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>
        <f t="shared" si="16"/>
        <v>706</v>
      </c>
      <c r="G287" s="5" t="s">
        <v>20</v>
      </c>
      <c r="H287">
        <v>254</v>
      </c>
      <c r="I287">
        <f t="shared" si="17"/>
        <v>25.03</v>
      </c>
      <c r="J287" t="s">
        <v>21</v>
      </c>
      <c r="K287" t="s">
        <v>22</v>
      </c>
      <c r="L287">
        <v>1473483600</v>
      </c>
      <c r="M287">
        <v>1476766800</v>
      </c>
      <c r="N287" s="19">
        <f t="shared" si="18"/>
        <v>42623.208333333328</v>
      </c>
      <c r="O287" s="19">
        <f t="shared" si="19"/>
        <v>42661.208333333328</v>
      </c>
      <c r="P287" t="b">
        <v>0</v>
      </c>
      <c r="Q287" t="b">
        <v>0</v>
      </c>
      <c r="R287" t="s">
        <v>33</v>
      </c>
      <c r="S287" t="s">
        <v>2037</v>
      </c>
      <c r="T287" t="s">
        <v>2038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>
        <f t="shared" si="16"/>
        <v>17</v>
      </c>
      <c r="G288" s="7" t="s">
        <v>74</v>
      </c>
      <c r="H288">
        <v>184</v>
      </c>
      <c r="I288">
        <f t="shared" si="17"/>
        <v>106.29</v>
      </c>
      <c r="J288" t="s">
        <v>21</v>
      </c>
      <c r="K288" t="s">
        <v>22</v>
      </c>
      <c r="L288">
        <v>1479880800</v>
      </c>
      <c r="M288">
        <v>1480485600</v>
      </c>
      <c r="N288" s="19">
        <f t="shared" si="18"/>
        <v>42697.25</v>
      </c>
      <c r="O288" s="19">
        <f t="shared" si="19"/>
        <v>42704.25</v>
      </c>
      <c r="P288" t="b">
        <v>0</v>
      </c>
      <c r="Q288" t="b">
        <v>0</v>
      </c>
      <c r="R288" t="s">
        <v>33</v>
      </c>
      <c r="S288" t="s">
        <v>2037</v>
      </c>
      <c r="T288" t="s">
        <v>2038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>
        <f t="shared" si="16"/>
        <v>210</v>
      </c>
      <c r="G289" s="5" t="s">
        <v>20</v>
      </c>
      <c r="H289">
        <v>176</v>
      </c>
      <c r="I289">
        <f t="shared" si="17"/>
        <v>75.069999999999993</v>
      </c>
      <c r="J289" t="s">
        <v>21</v>
      </c>
      <c r="K289" t="s">
        <v>22</v>
      </c>
      <c r="L289">
        <v>1430197200</v>
      </c>
      <c r="M289">
        <v>1430197200</v>
      </c>
      <c r="N289" s="19">
        <f t="shared" si="18"/>
        <v>42122.208333333328</v>
      </c>
      <c r="O289" s="19">
        <f t="shared" si="19"/>
        <v>42122.208333333328</v>
      </c>
      <c r="P289" t="b">
        <v>0</v>
      </c>
      <c r="Q289" t="b">
        <v>0</v>
      </c>
      <c r="R289" t="s">
        <v>50</v>
      </c>
      <c r="S289" t="s">
        <v>2033</v>
      </c>
      <c r="T289" t="s">
        <v>2041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>
        <f t="shared" si="16"/>
        <v>98</v>
      </c>
      <c r="G290" s="4" t="s">
        <v>14</v>
      </c>
      <c r="H290">
        <v>137</v>
      </c>
      <c r="I290">
        <f t="shared" si="17"/>
        <v>39.97</v>
      </c>
      <c r="J290" t="s">
        <v>36</v>
      </c>
      <c r="K290" t="s">
        <v>37</v>
      </c>
      <c r="L290">
        <v>1331701200</v>
      </c>
      <c r="M290">
        <v>1331787600</v>
      </c>
      <c r="N290" s="19">
        <f t="shared" si="18"/>
        <v>40982.208333333336</v>
      </c>
      <c r="O290" s="19">
        <f t="shared" si="19"/>
        <v>40983.208333333336</v>
      </c>
      <c r="P290" t="b">
        <v>0</v>
      </c>
      <c r="Q290" t="b">
        <v>1</v>
      </c>
      <c r="R290" t="s">
        <v>148</v>
      </c>
      <c r="S290" t="s">
        <v>2033</v>
      </c>
      <c r="T290" t="s">
        <v>2055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>
        <f t="shared" si="16"/>
        <v>1684</v>
      </c>
      <c r="G291" s="5" t="s">
        <v>20</v>
      </c>
      <c r="H291">
        <v>337</v>
      </c>
      <c r="I291">
        <f t="shared" si="17"/>
        <v>39.979999999999997</v>
      </c>
      <c r="J291" t="s">
        <v>15</v>
      </c>
      <c r="K291" t="s">
        <v>16</v>
      </c>
      <c r="L291">
        <v>1438578000</v>
      </c>
      <c r="M291">
        <v>1438837200</v>
      </c>
      <c r="N291" s="19">
        <f t="shared" si="18"/>
        <v>42219.208333333328</v>
      </c>
      <c r="O291" s="19">
        <f t="shared" si="19"/>
        <v>42222.208333333328</v>
      </c>
      <c r="P291" t="b">
        <v>0</v>
      </c>
      <c r="Q291" t="b">
        <v>0</v>
      </c>
      <c r="R291" t="s">
        <v>33</v>
      </c>
      <c r="S291" t="s">
        <v>2037</v>
      </c>
      <c r="T291" t="s">
        <v>2038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>
        <f t="shared" si="16"/>
        <v>54</v>
      </c>
      <c r="G292" s="4" t="s">
        <v>14</v>
      </c>
      <c r="H292">
        <v>908</v>
      </c>
      <c r="I292">
        <f t="shared" si="17"/>
        <v>101.02</v>
      </c>
      <c r="J292" t="s">
        <v>21</v>
      </c>
      <c r="K292" t="s">
        <v>22</v>
      </c>
      <c r="L292">
        <v>1368162000</v>
      </c>
      <c r="M292">
        <v>1370926800</v>
      </c>
      <c r="N292" s="19">
        <f t="shared" si="18"/>
        <v>41404.208333333336</v>
      </c>
      <c r="O292" s="19">
        <f t="shared" si="19"/>
        <v>41436.208333333336</v>
      </c>
      <c r="P292" t="b">
        <v>0</v>
      </c>
      <c r="Q292" t="b">
        <v>1</v>
      </c>
      <c r="R292" t="s">
        <v>42</v>
      </c>
      <c r="S292" t="s">
        <v>2039</v>
      </c>
      <c r="T292" t="s">
        <v>2040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>
        <f t="shared" si="16"/>
        <v>457</v>
      </c>
      <c r="G293" s="5" t="s">
        <v>20</v>
      </c>
      <c r="H293">
        <v>107</v>
      </c>
      <c r="I293">
        <f t="shared" si="17"/>
        <v>76.81</v>
      </c>
      <c r="J293" t="s">
        <v>21</v>
      </c>
      <c r="K293" t="s">
        <v>22</v>
      </c>
      <c r="L293">
        <v>1318654800</v>
      </c>
      <c r="M293">
        <v>1319000400</v>
      </c>
      <c r="N293" s="19">
        <f t="shared" si="18"/>
        <v>40831.208333333336</v>
      </c>
      <c r="O293" s="19">
        <f t="shared" si="19"/>
        <v>40835.208333333336</v>
      </c>
      <c r="P293" t="b">
        <v>1</v>
      </c>
      <c r="Q293" t="b">
        <v>0</v>
      </c>
      <c r="R293" t="s">
        <v>28</v>
      </c>
      <c r="S293" t="s">
        <v>2035</v>
      </c>
      <c r="T293" t="s">
        <v>2036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>
        <f t="shared" si="16"/>
        <v>10</v>
      </c>
      <c r="G294" s="4" t="s">
        <v>14</v>
      </c>
      <c r="H294">
        <v>10</v>
      </c>
      <c r="I294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s="19">
        <f t="shared" si="18"/>
        <v>40984.208333333336</v>
      </c>
      <c r="O294" s="19">
        <f t="shared" si="19"/>
        <v>41002.208333333336</v>
      </c>
      <c r="P294" t="b">
        <v>0</v>
      </c>
      <c r="Q294" t="b">
        <v>0</v>
      </c>
      <c r="R294" t="s">
        <v>17</v>
      </c>
      <c r="S294" t="s">
        <v>2031</v>
      </c>
      <c r="T294" t="s">
        <v>2032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>
        <f t="shared" si="16"/>
        <v>16</v>
      </c>
      <c r="G295" s="7" t="s">
        <v>74</v>
      </c>
      <c r="H295">
        <v>32</v>
      </c>
      <c r="I295">
        <f t="shared" si="17"/>
        <v>33.28</v>
      </c>
      <c r="J295" t="s">
        <v>107</v>
      </c>
      <c r="K295" t="s">
        <v>108</v>
      </c>
      <c r="L295">
        <v>1286254800</v>
      </c>
      <c r="M295">
        <v>1287032400</v>
      </c>
      <c r="N295" s="19">
        <f t="shared" si="18"/>
        <v>40456.208333333336</v>
      </c>
      <c r="O295" s="19">
        <f t="shared" si="19"/>
        <v>40465.208333333336</v>
      </c>
      <c r="P295" t="b">
        <v>0</v>
      </c>
      <c r="Q295" t="b">
        <v>0</v>
      </c>
      <c r="R295" t="s">
        <v>33</v>
      </c>
      <c r="S295" t="s">
        <v>2037</v>
      </c>
      <c r="T295" t="s">
        <v>2038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>
        <f t="shared" si="16"/>
        <v>1340</v>
      </c>
      <c r="G296" s="5" t="s">
        <v>20</v>
      </c>
      <c r="H296">
        <v>183</v>
      </c>
      <c r="I296">
        <f t="shared" si="17"/>
        <v>43.92</v>
      </c>
      <c r="J296" t="s">
        <v>21</v>
      </c>
      <c r="K296" t="s">
        <v>22</v>
      </c>
      <c r="L296">
        <v>1540530000</v>
      </c>
      <c r="M296">
        <v>1541570400</v>
      </c>
      <c r="N296" s="19">
        <f t="shared" si="18"/>
        <v>43399.208333333328</v>
      </c>
      <c r="O296" s="19">
        <f t="shared" si="19"/>
        <v>43411.25</v>
      </c>
      <c r="P296" t="b">
        <v>0</v>
      </c>
      <c r="Q296" t="b">
        <v>0</v>
      </c>
      <c r="R296" t="s">
        <v>33</v>
      </c>
      <c r="S296" t="s">
        <v>2037</v>
      </c>
      <c r="T296" t="s">
        <v>2038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>
        <f t="shared" si="16"/>
        <v>36</v>
      </c>
      <c r="G297" s="4" t="s">
        <v>14</v>
      </c>
      <c r="H297">
        <v>1910</v>
      </c>
      <c r="I297">
        <f t="shared" si="17"/>
        <v>36</v>
      </c>
      <c r="J297" t="s">
        <v>98</v>
      </c>
      <c r="K297" t="s">
        <v>99</v>
      </c>
      <c r="L297">
        <v>1381813200</v>
      </c>
      <c r="M297">
        <v>1383976800</v>
      </c>
      <c r="N297" s="19">
        <f t="shared" si="18"/>
        <v>41562.208333333336</v>
      </c>
      <c r="O297" s="19">
        <f t="shared" si="19"/>
        <v>41587.25</v>
      </c>
      <c r="P297" t="b">
        <v>0</v>
      </c>
      <c r="Q297" t="b">
        <v>0</v>
      </c>
      <c r="R297" t="s">
        <v>33</v>
      </c>
      <c r="S297" t="s">
        <v>2037</v>
      </c>
      <c r="T297" t="s">
        <v>2038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>
        <f t="shared" si="16"/>
        <v>55</v>
      </c>
      <c r="G298" s="4" t="s">
        <v>14</v>
      </c>
      <c r="H298">
        <v>38</v>
      </c>
      <c r="I298">
        <f t="shared" si="17"/>
        <v>88.21</v>
      </c>
      <c r="J298" t="s">
        <v>26</v>
      </c>
      <c r="K298" t="s">
        <v>27</v>
      </c>
      <c r="L298">
        <v>1548655200</v>
      </c>
      <c r="M298">
        <v>1550556000</v>
      </c>
      <c r="N298" s="19">
        <f t="shared" si="18"/>
        <v>43493.25</v>
      </c>
      <c r="O298" s="19">
        <f t="shared" si="19"/>
        <v>43515.25</v>
      </c>
      <c r="P298" t="b">
        <v>0</v>
      </c>
      <c r="Q298" t="b">
        <v>0</v>
      </c>
      <c r="R298" t="s">
        <v>33</v>
      </c>
      <c r="S298" t="s">
        <v>2037</v>
      </c>
      <c r="T298" t="s">
        <v>2038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>
        <f t="shared" si="16"/>
        <v>94</v>
      </c>
      <c r="G299" s="4" t="s">
        <v>14</v>
      </c>
      <c r="H299">
        <v>104</v>
      </c>
      <c r="I299">
        <f t="shared" si="17"/>
        <v>65.239999999999995</v>
      </c>
      <c r="J299" t="s">
        <v>26</v>
      </c>
      <c r="K299" t="s">
        <v>27</v>
      </c>
      <c r="L299">
        <v>1389679200</v>
      </c>
      <c r="M299">
        <v>1390456800</v>
      </c>
      <c r="N299" s="19">
        <f t="shared" si="18"/>
        <v>41653.25</v>
      </c>
      <c r="O299" s="19">
        <f t="shared" si="19"/>
        <v>41662.25</v>
      </c>
      <c r="P299" t="b">
        <v>0</v>
      </c>
      <c r="Q299" t="b">
        <v>1</v>
      </c>
      <c r="R299" t="s">
        <v>33</v>
      </c>
      <c r="S299" t="s">
        <v>2037</v>
      </c>
      <c r="T299" t="s">
        <v>2038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>
        <f t="shared" si="16"/>
        <v>144</v>
      </c>
      <c r="G300" s="5" t="s">
        <v>20</v>
      </c>
      <c r="H300">
        <v>72</v>
      </c>
      <c r="I300">
        <f t="shared" si="17"/>
        <v>69.959999999999994</v>
      </c>
      <c r="J300" t="s">
        <v>21</v>
      </c>
      <c r="K300" t="s">
        <v>22</v>
      </c>
      <c r="L300">
        <v>1456466400</v>
      </c>
      <c r="M300">
        <v>1458018000</v>
      </c>
      <c r="N300" s="19">
        <f t="shared" si="18"/>
        <v>42426.25</v>
      </c>
      <c r="O300" s="19">
        <f t="shared" si="19"/>
        <v>42444.208333333328</v>
      </c>
      <c r="P300" t="b">
        <v>0</v>
      </c>
      <c r="Q300" t="b">
        <v>1</v>
      </c>
      <c r="R300" t="s">
        <v>23</v>
      </c>
      <c r="S300" t="s">
        <v>2033</v>
      </c>
      <c r="T300" t="s">
        <v>2034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>
        <f t="shared" si="16"/>
        <v>51</v>
      </c>
      <c r="G301" s="4" t="s">
        <v>14</v>
      </c>
      <c r="H301">
        <v>49</v>
      </c>
      <c r="I301">
        <f t="shared" si="17"/>
        <v>39.880000000000003</v>
      </c>
      <c r="J301" t="s">
        <v>21</v>
      </c>
      <c r="K301" t="s">
        <v>22</v>
      </c>
      <c r="L301">
        <v>1456984800</v>
      </c>
      <c r="M301">
        <v>1461819600</v>
      </c>
      <c r="N301" s="19">
        <f t="shared" si="18"/>
        <v>42432.25</v>
      </c>
      <c r="O301" s="19">
        <f t="shared" si="19"/>
        <v>42488.208333333328</v>
      </c>
      <c r="P301" t="b">
        <v>0</v>
      </c>
      <c r="Q301" t="b">
        <v>0</v>
      </c>
      <c r="R301" t="s">
        <v>17</v>
      </c>
      <c r="S301" t="s">
        <v>2031</v>
      </c>
      <c r="T301" t="s">
        <v>2032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>
        <f t="shared" si="16"/>
        <v>5</v>
      </c>
      <c r="G302" s="4" t="s">
        <v>14</v>
      </c>
      <c r="H302">
        <v>1</v>
      </c>
      <c r="I302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s="19">
        <f t="shared" si="18"/>
        <v>42977.208333333328</v>
      </c>
      <c r="O302" s="19">
        <f t="shared" si="19"/>
        <v>42978.208333333328</v>
      </c>
      <c r="P302" t="b">
        <v>0</v>
      </c>
      <c r="Q302" t="b">
        <v>1</v>
      </c>
      <c r="R302" t="s">
        <v>68</v>
      </c>
      <c r="S302" t="s">
        <v>2045</v>
      </c>
      <c r="T302" t="s">
        <v>2046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>
        <f t="shared" si="16"/>
        <v>1345</v>
      </c>
      <c r="G303" s="5" t="s">
        <v>20</v>
      </c>
      <c r="H303">
        <v>295</v>
      </c>
      <c r="I303">
        <f t="shared" si="17"/>
        <v>41.02</v>
      </c>
      <c r="J303" t="s">
        <v>21</v>
      </c>
      <c r="K303" t="s">
        <v>22</v>
      </c>
      <c r="L303">
        <v>1424930400</v>
      </c>
      <c r="M303">
        <v>1426395600</v>
      </c>
      <c r="N303" s="19">
        <f t="shared" si="18"/>
        <v>42061.25</v>
      </c>
      <c r="O303" s="19">
        <f t="shared" si="19"/>
        <v>42078.208333333328</v>
      </c>
      <c r="P303" t="b">
        <v>0</v>
      </c>
      <c r="Q303" t="b">
        <v>0</v>
      </c>
      <c r="R303" t="s">
        <v>42</v>
      </c>
      <c r="S303" t="s">
        <v>2039</v>
      </c>
      <c r="T303" t="s">
        <v>2040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>
        <f t="shared" si="16"/>
        <v>32</v>
      </c>
      <c r="G304" s="4" t="s">
        <v>14</v>
      </c>
      <c r="H304">
        <v>245</v>
      </c>
      <c r="I304">
        <f t="shared" si="17"/>
        <v>98.91</v>
      </c>
      <c r="J304" t="s">
        <v>21</v>
      </c>
      <c r="K304" t="s">
        <v>22</v>
      </c>
      <c r="L304">
        <v>1535864400</v>
      </c>
      <c r="M304">
        <v>1537074000</v>
      </c>
      <c r="N304" s="19">
        <f t="shared" si="18"/>
        <v>43345.208333333328</v>
      </c>
      <c r="O304" s="19">
        <f t="shared" si="19"/>
        <v>43359.208333333328</v>
      </c>
      <c r="P304" t="b">
        <v>0</v>
      </c>
      <c r="Q304" t="b">
        <v>0</v>
      </c>
      <c r="R304" t="s">
        <v>33</v>
      </c>
      <c r="S304" t="s">
        <v>2037</v>
      </c>
      <c r="T304" t="s">
        <v>2038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>
        <f t="shared" si="16"/>
        <v>83</v>
      </c>
      <c r="G305" s="4" t="s">
        <v>14</v>
      </c>
      <c r="H305">
        <v>32</v>
      </c>
      <c r="I305">
        <f t="shared" si="17"/>
        <v>87.78</v>
      </c>
      <c r="J305" t="s">
        <v>21</v>
      </c>
      <c r="K305" t="s">
        <v>22</v>
      </c>
      <c r="L305">
        <v>1452146400</v>
      </c>
      <c r="M305">
        <v>1452578400</v>
      </c>
      <c r="N305" s="19">
        <f t="shared" si="18"/>
        <v>42376.25</v>
      </c>
      <c r="O305" s="19">
        <f t="shared" si="19"/>
        <v>42381.25</v>
      </c>
      <c r="P305" t="b">
        <v>0</v>
      </c>
      <c r="Q305" t="b">
        <v>0</v>
      </c>
      <c r="R305" t="s">
        <v>60</v>
      </c>
      <c r="S305" t="s">
        <v>2033</v>
      </c>
      <c r="T305" t="s">
        <v>2043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>
        <f t="shared" si="16"/>
        <v>546</v>
      </c>
      <c r="G306" s="5" t="s">
        <v>20</v>
      </c>
      <c r="H306">
        <v>142</v>
      </c>
      <c r="I306">
        <f t="shared" si="17"/>
        <v>80.77</v>
      </c>
      <c r="J306" t="s">
        <v>21</v>
      </c>
      <c r="K306" t="s">
        <v>22</v>
      </c>
      <c r="L306">
        <v>1470546000</v>
      </c>
      <c r="M306">
        <v>1474088400</v>
      </c>
      <c r="N306" s="19">
        <f t="shared" si="18"/>
        <v>42589.208333333328</v>
      </c>
      <c r="O306" s="19">
        <f t="shared" si="19"/>
        <v>42630.208333333328</v>
      </c>
      <c r="P306" t="b">
        <v>0</v>
      </c>
      <c r="Q306" t="b">
        <v>0</v>
      </c>
      <c r="R306" t="s">
        <v>42</v>
      </c>
      <c r="S306" t="s">
        <v>2039</v>
      </c>
      <c r="T306" t="s">
        <v>2040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>
        <f t="shared" si="16"/>
        <v>286</v>
      </c>
      <c r="G307" s="5" t="s">
        <v>20</v>
      </c>
      <c r="H307">
        <v>85</v>
      </c>
      <c r="I307">
        <f t="shared" si="17"/>
        <v>94.28</v>
      </c>
      <c r="J307" t="s">
        <v>21</v>
      </c>
      <c r="K307" t="s">
        <v>22</v>
      </c>
      <c r="L307">
        <v>1458363600</v>
      </c>
      <c r="M307">
        <v>1461906000</v>
      </c>
      <c r="N307" s="19">
        <f t="shared" si="18"/>
        <v>42448.208333333328</v>
      </c>
      <c r="O307" s="19">
        <f t="shared" si="19"/>
        <v>42489.208333333328</v>
      </c>
      <c r="P307" t="b">
        <v>0</v>
      </c>
      <c r="Q307" t="b">
        <v>0</v>
      </c>
      <c r="R307" t="s">
        <v>33</v>
      </c>
      <c r="S307" t="s">
        <v>2037</v>
      </c>
      <c r="T307" t="s">
        <v>2038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>
        <f t="shared" si="16"/>
        <v>8</v>
      </c>
      <c r="G308" s="4" t="s">
        <v>14</v>
      </c>
      <c r="H308">
        <v>7</v>
      </c>
      <c r="I308">
        <f t="shared" si="17"/>
        <v>73.430000000000007</v>
      </c>
      <c r="J308" t="s">
        <v>21</v>
      </c>
      <c r="K308" t="s">
        <v>22</v>
      </c>
      <c r="L308">
        <v>1500008400</v>
      </c>
      <c r="M308">
        <v>1500267600</v>
      </c>
      <c r="N308" s="19">
        <f t="shared" si="18"/>
        <v>42930.208333333328</v>
      </c>
      <c r="O308" s="19">
        <f t="shared" si="19"/>
        <v>42933.208333333328</v>
      </c>
      <c r="P308" t="b">
        <v>0</v>
      </c>
      <c r="Q308" t="b">
        <v>1</v>
      </c>
      <c r="R308" t="s">
        <v>33</v>
      </c>
      <c r="S308" t="s">
        <v>2037</v>
      </c>
      <c r="T308" t="s">
        <v>2038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>
        <f t="shared" si="16"/>
        <v>132</v>
      </c>
      <c r="G309" s="5" t="s">
        <v>20</v>
      </c>
      <c r="H309">
        <v>659</v>
      </c>
      <c r="I309">
        <f t="shared" si="17"/>
        <v>65.97</v>
      </c>
      <c r="J309" t="s">
        <v>36</v>
      </c>
      <c r="K309" t="s">
        <v>37</v>
      </c>
      <c r="L309">
        <v>1338958800</v>
      </c>
      <c r="M309">
        <v>1340686800</v>
      </c>
      <c r="N309" s="19">
        <f t="shared" si="18"/>
        <v>41066.208333333336</v>
      </c>
      <c r="O309" s="19">
        <f t="shared" si="19"/>
        <v>41086.208333333336</v>
      </c>
      <c r="P309" t="b">
        <v>0</v>
      </c>
      <c r="Q309" t="b">
        <v>1</v>
      </c>
      <c r="R309" t="s">
        <v>119</v>
      </c>
      <c r="S309" t="s">
        <v>2045</v>
      </c>
      <c r="T309" t="s">
        <v>2051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>
        <f t="shared" si="16"/>
        <v>74</v>
      </c>
      <c r="G310" s="4" t="s">
        <v>14</v>
      </c>
      <c r="H310">
        <v>803</v>
      </c>
      <c r="I310">
        <f t="shared" si="17"/>
        <v>109.04</v>
      </c>
      <c r="J310" t="s">
        <v>21</v>
      </c>
      <c r="K310" t="s">
        <v>22</v>
      </c>
      <c r="L310">
        <v>1303102800</v>
      </c>
      <c r="M310">
        <v>1303189200</v>
      </c>
      <c r="N310" s="19">
        <f t="shared" si="18"/>
        <v>40651.208333333336</v>
      </c>
      <c r="O310" s="19">
        <f t="shared" si="19"/>
        <v>40652.208333333336</v>
      </c>
      <c r="P310" t="b">
        <v>0</v>
      </c>
      <c r="Q310" t="b">
        <v>0</v>
      </c>
      <c r="R310" t="s">
        <v>33</v>
      </c>
      <c r="S310" t="s">
        <v>2037</v>
      </c>
      <c r="T310" t="s">
        <v>2038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>
        <f t="shared" si="16"/>
        <v>75</v>
      </c>
      <c r="G311" s="7" t="s">
        <v>74</v>
      </c>
      <c r="H311">
        <v>75</v>
      </c>
      <c r="I311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s="19">
        <f t="shared" si="18"/>
        <v>40807.208333333336</v>
      </c>
      <c r="O311" s="19">
        <f t="shared" si="19"/>
        <v>40827.208333333336</v>
      </c>
      <c r="P311" t="b">
        <v>0</v>
      </c>
      <c r="Q311" t="b">
        <v>1</v>
      </c>
      <c r="R311" t="s">
        <v>60</v>
      </c>
      <c r="S311" t="s">
        <v>2033</v>
      </c>
      <c r="T311" t="s">
        <v>2043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>
        <f t="shared" si="16"/>
        <v>20</v>
      </c>
      <c r="G312" s="4" t="s">
        <v>14</v>
      </c>
      <c r="H312">
        <v>16</v>
      </c>
      <c r="I312">
        <f t="shared" si="17"/>
        <v>99.13</v>
      </c>
      <c r="J312" t="s">
        <v>21</v>
      </c>
      <c r="K312" t="s">
        <v>22</v>
      </c>
      <c r="L312">
        <v>1270789200</v>
      </c>
      <c r="M312">
        <v>1272171600</v>
      </c>
      <c r="N312" s="19">
        <f t="shared" si="18"/>
        <v>40277.208333333336</v>
      </c>
      <c r="O312" s="19">
        <f t="shared" si="19"/>
        <v>40293.208333333336</v>
      </c>
      <c r="P312" t="b">
        <v>0</v>
      </c>
      <c r="Q312" t="b">
        <v>0</v>
      </c>
      <c r="R312" t="s">
        <v>89</v>
      </c>
      <c r="S312" t="s">
        <v>2048</v>
      </c>
      <c r="T312" t="s">
        <v>2049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>
        <f t="shared" si="16"/>
        <v>203</v>
      </c>
      <c r="G313" s="5" t="s">
        <v>20</v>
      </c>
      <c r="H313">
        <v>121</v>
      </c>
      <c r="I313">
        <f t="shared" si="17"/>
        <v>105.88</v>
      </c>
      <c r="J313" t="s">
        <v>21</v>
      </c>
      <c r="K313" t="s">
        <v>22</v>
      </c>
      <c r="L313">
        <v>1297836000</v>
      </c>
      <c r="M313">
        <v>1298872800</v>
      </c>
      <c r="N313" s="19">
        <f t="shared" si="18"/>
        <v>40590.25</v>
      </c>
      <c r="O313" s="19">
        <f t="shared" si="19"/>
        <v>40602.25</v>
      </c>
      <c r="P313" t="b">
        <v>0</v>
      </c>
      <c r="Q313" t="b">
        <v>0</v>
      </c>
      <c r="R313" t="s">
        <v>33</v>
      </c>
      <c r="S313" t="s">
        <v>2037</v>
      </c>
      <c r="T313" t="s">
        <v>2038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>
        <f t="shared" si="16"/>
        <v>310</v>
      </c>
      <c r="G314" s="5" t="s">
        <v>20</v>
      </c>
      <c r="H314">
        <v>3742</v>
      </c>
      <c r="I314">
        <f t="shared" si="17"/>
        <v>49</v>
      </c>
      <c r="J314" t="s">
        <v>21</v>
      </c>
      <c r="K314" t="s">
        <v>22</v>
      </c>
      <c r="L314">
        <v>1382677200</v>
      </c>
      <c r="M314">
        <v>1383282000</v>
      </c>
      <c r="N314" s="19">
        <f t="shared" si="18"/>
        <v>41572.208333333336</v>
      </c>
      <c r="O314" s="19">
        <f t="shared" si="19"/>
        <v>41579.208333333336</v>
      </c>
      <c r="P314" t="b">
        <v>0</v>
      </c>
      <c r="Q314" t="b">
        <v>0</v>
      </c>
      <c r="R314" t="s">
        <v>33</v>
      </c>
      <c r="S314" t="s">
        <v>2037</v>
      </c>
      <c r="T314" t="s">
        <v>2038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>
        <f t="shared" si="16"/>
        <v>395</v>
      </c>
      <c r="G315" s="5" t="s">
        <v>20</v>
      </c>
      <c r="H315">
        <v>223</v>
      </c>
      <c r="I315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s="19">
        <f t="shared" si="18"/>
        <v>40966.25</v>
      </c>
      <c r="O315" s="19">
        <f t="shared" si="19"/>
        <v>40968.25</v>
      </c>
      <c r="P315" t="b">
        <v>0</v>
      </c>
      <c r="Q315" t="b">
        <v>0</v>
      </c>
      <c r="R315" t="s">
        <v>23</v>
      </c>
      <c r="S315" t="s">
        <v>2033</v>
      </c>
      <c r="T315" t="s">
        <v>2034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>
        <f t="shared" si="16"/>
        <v>295</v>
      </c>
      <c r="G316" s="5" t="s">
        <v>20</v>
      </c>
      <c r="H316">
        <v>133</v>
      </c>
      <c r="I316">
        <f t="shared" si="17"/>
        <v>31.02</v>
      </c>
      <c r="J316" t="s">
        <v>21</v>
      </c>
      <c r="K316" t="s">
        <v>22</v>
      </c>
      <c r="L316">
        <v>1552366800</v>
      </c>
      <c r="M316">
        <v>1552798800</v>
      </c>
      <c r="N316" s="19">
        <f t="shared" si="18"/>
        <v>43536.208333333328</v>
      </c>
      <c r="O316" s="19">
        <f t="shared" si="19"/>
        <v>43541.208333333328</v>
      </c>
      <c r="P316" t="b">
        <v>0</v>
      </c>
      <c r="Q316" t="b">
        <v>1</v>
      </c>
      <c r="R316" t="s">
        <v>42</v>
      </c>
      <c r="S316" t="s">
        <v>2039</v>
      </c>
      <c r="T316" t="s">
        <v>2040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>
        <f t="shared" si="16"/>
        <v>34</v>
      </c>
      <c r="G317" s="4" t="s">
        <v>14</v>
      </c>
      <c r="H317">
        <v>31</v>
      </c>
      <c r="I317">
        <f t="shared" si="17"/>
        <v>103.87</v>
      </c>
      <c r="J317" t="s">
        <v>21</v>
      </c>
      <c r="K317" t="s">
        <v>22</v>
      </c>
      <c r="L317">
        <v>1400907600</v>
      </c>
      <c r="M317">
        <v>1403413200</v>
      </c>
      <c r="N317" s="19">
        <f t="shared" si="18"/>
        <v>41783.208333333336</v>
      </c>
      <c r="O317" s="19">
        <f t="shared" si="19"/>
        <v>41812.208333333336</v>
      </c>
      <c r="P317" t="b">
        <v>0</v>
      </c>
      <c r="Q317" t="b">
        <v>0</v>
      </c>
      <c r="R317" t="s">
        <v>33</v>
      </c>
      <c r="S317" t="s">
        <v>2037</v>
      </c>
      <c r="T317" t="s">
        <v>2038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>
        <f t="shared" si="16"/>
        <v>67</v>
      </c>
      <c r="G318" s="4" t="s">
        <v>14</v>
      </c>
      <c r="H318">
        <v>108</v>
      </c>
      <c r="I318">
        <f t="shared" si="17"/>
        <v>59.27</v>
      </c>
      <c r="J318" t="s">
        <v>107</v>
      </c>
      <c r="K318" t="s">
        <v>108</v>
      </c>
      <c r="L318">
        <v>1574143200</v>
      </c>
      <c r="M318">
        <v>1574229600</v>
      </c>
      <c r="N318" s="19">
        <f t="shared" si="18"/>
        <v>43788.25</v>
      </c>
      <c r="O318" s="19">
        <f t="shared" si="19"/>
        <v>43789.25</v>
      </c>
      <c r="P318" t="b">
        <v>0</v>
      </c>
      <c r="Q318" t="b">
        <v>1</v>
      </c>
      <c r="R318" t="s">
        <v>17</v>
      </c>
      <c r="S318" t="s">
        <v>2031</v>
      </c>
      <c r="T318" t="s">
        <v>2032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>
        <f t="shared" si="16"/>
        <v>19</v>
      </c>
      <c r="G319" s="4" t="s">
        <v>14</v>
      </c>
      <c r="H319">
        <v>30</v>
      </c>
      <c r="I319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s="19">
        <f t="shared" si="18"/>
        <v>42869.208333333328</v>
      </c>
      <c r="O319" s="19">
        <f t="shared" si="19"/>
        <v>42882.208333333328</v>
      </c>
      <c r="P319" t="b">
        <v>0</v>
      </c>
      <c r="Q319" t="b">
        <v>0</v>
      </c>
      <c r="R319" t="s">
        <v>33</v>
      </c>
      <c r="S319" t="s">
        <v>2037</v>
      </c>
      <c r="T319" t="s">
        <v>2038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>
        <f t="shared" si="16"/>
        <v>16</v>
      </c>
      <c r="G320" s="4" t="s">
        <v>14</v>
      </c>
      <c r="H320">
        <v>17</v>
      </c>
      <c r="I320">
        <f t="shared" si="17"/>
        <v>53.12</v>
      </c>
      <c r="J320" t="s">
        <v>21</v>
      </c>
      <c r="K320" t="s">
        <v>22</v>
      </c>
      <c r="L320">
        <v>1392357600</v>
      </c>
      <c r="M320">
        <v>1392530400</v>
      </c>
      <c r="N320" s="19">
        <f t="shared" si="18"/>
        <v>41684.25</v>
      </c>
      <c r="O320" s="19">
        <f t="shared" si="19"/>
        <v>41686.25</v>
      </c>
      <c r="P320" t="b">
        <v>0</v>
      </c>
      <c r="Q320" t="b">
        <v>0</v>
      </c>
      <c r="R320" t="s">
        <v>23</v>
      </c>
      <c r="S320" t="s">
        <v>2033</v>
      </c>
      <c r="T320" t="s">
        <v>2034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>
        <f t="shared" si="16"/>
        <v>39</v>
      </c>
      <c r="G321" s="7" t="s">
        <v>74</v>
      </c>
      <c r="H321">
        <v>64</v>
      </c>
      <c r="I321">
        <f t="shared" si="17"/>
        <v>50.8</v>
      </c>
      <c r="J321" t="s">
        <v>21</v>
      </c>
      <c r="K321" t="s">
        <v>22</v>
      </c>
      <c r="L321">
        <v>1281589200</v>
      </c>
      <c r="M321">
        <v>1283662800</v>
      </c>
      <c r="N321" s="19">
        <f t="shared" si="18"/>
        <v>40402.208333333336</v>
      </c>
      <c r="O321" s="19">
        <f t="shared" si="19"/>
        <v>40426.208333333336</v>
      </c>
      <c r="P321" t="b">
        <v>0</v>
      </c>
      <c r="Q321" t="b">
        <v>0</v>
      </c>
      <c r="R321" t="s">
        <v>28</v>
      </c>
      <c r="S321" t="s">
        <v>2035</v>
      </c>
      <c r="T321" t="s">
        <v>2036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>
        <f t="shared" si="16"/>
        <v>10</v>
      </c>
      <c r="G322" s="4" t="s">
        <v>14</v>
      </c>
      <c r="H322">
        <v>80</v>
      </c>
      <c r="I322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s="19">
        <f t="shared" si="18"/>
        <v>40673.208333333336</v>
      </c>
      <c r="O322" s="19">
        <f t="shared" si="19"/>
        <v>40682.208333333336</v>
      </c>
      <c r="P322" t="b">
        <v>0</v>
      </c>
      <c r="Q322" t="b">
        <v>0</v>
      </c>
      <c r="R322" t="s">
        <v>119</v>
      </c>
      <c r="S322" t="s">
        <v>2045</v>
      </c>
      <c r="T322" t="s">
        <v>2051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>
        <f t="shared" ref="F323:F386" si="20">ROUND(E323/D323*100,0)</f>
        <v>94</v>
      </c>
      <c r="G323" s="4" t="s">
        <v>14</v>
      </c>
      <c r="H323">
        <v>2468</v>
      </c>
      <c r="I323">
        <f t="shared" ref="I323:I386" si="21">ROUND(E323/H323,2)</f>
        <v>65</v>
      </c>
      <c r="J323" t="s">
        <v>21</v>
      </c>
      <c r="K323" t="s">
        <v>22</v>
      </c>
      <c r="L323">
        <v>1301634000</v>
      </c>
      <c r="M323">
        <v>1302325200</v>
      </c>
      <c r="N323" s="19">
        <f t="shared" ref="N323:N386" si="22">(((L323/60)/60)/24)+DATE(1970,1,1)</f>
        <v>40634.208333333336</v>
      </c>
      <c r="O323" s="19">
        <f t="shared" ref="O323:O386" si="23">(((M323/60)/60)/24)+DATE(1970,1,1)</f>
        <v>40642.208333333336</v>
      </c>
      <c r="P323" t="b">
        <v>0</v>
      </c>
      <c r="Q323" t="b">
        <v>0</v>
      </c>
      <c r="R323" t="s">
        <v>100</v>
      </c>
      <c r="S323" t="s">
        <v>2039</v>
      </c>
      <c r="T323" t="s">
        <v>2050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>
        <f t="shared" si="20"/>
        <v>167</v>
      </c>
      <c r="G324" s="5" t="s">
        <v>20</v>
      </c>
      <c r="H324">
        <v>5168</v>
      </c>
      <c r="I324">
        <f t="shared" si="21"/>
        <v>38</v>
      </c>
      <c r="J324" t="s">
        <v>21</v>
      </c>
      <c r="K324" t="s">
        <v>22</v>
      </c>
      <c r="L324">
        <v>1290664800</v>
      </c>
      <c r="M324">
        <v>1291788000</v>
      </c>
      <c r="N324" s="19">
        <f t="shared" si="22"/>
        <v>40507.25</v>
      </c>
      <c r="O324" s="19">
        <f t="shared" si="23"/>
        <v>40520.25</v>
      </c>
      <c r="P324" t="b">
        <v>0</v>
      </c>
      <c r="Q324" t="b">
        <v>0</v>
      </c>
      <c r="R324" t="s">
        <v>33</v>
      </c>
      <c r="S324" t="s">
        <v>2037</v>
      </c>
      <c r="T324" t="s">
        <v>2038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>
        <f t="shared" si="20"/>
        <v>24</v>
      </c>
      <c r="G325" s="4" t="s">
        <v>14</v>
      </c>
      <c r="H325">
        <v>26</v>
      </c>
      <c r="I325">
        <f t="shared" si="21"/>
        <v>82.62</v>
      </c>
      <c r="J325" t="s">
        <v>40</v>
      </c>
      <c r="K325" t="s">
        <v>41</v>
      </c>
      <c r="L325">
        <v>1395896400</v>
      </c>
      <c r="M325">
        <v>1396069200</v>
      </c>
      <c r="N325" s="19">
        <f t="shared" si="22"/>
        <v>41725.208333333336</v>
      </c>
      <c r="O325" s="19">
        <f t="shared" si="23"/>
        <v>41727.208333333336</v>
      </c>
      <c r="P325" t="b">
        <v>0</v>
      </c>
      <c r="Q325" t="b">
        <v>0</v>
      </c>
      <c r="R325" t="s">
        <v>42</v>
      </c>
      <c r="S325" t="s">
        <v>2039</v>
      </c>
      <c r="T325" t="s">
        <v>2040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>
        <f t="shared" si="20"/>
        <v>164</v>
      </c>
      <c r="G326" s="5" t="s">
        <v>20</v>
      </c>
      <c r="H326">
        <v>307</v>
      </c>
      <c r="I326">
        <f t="shared" si="21"/>
        <v>37.94</v>
      </c>
      <c r="J326" t="s">
        <v>21</v>
      </c>
      <c r="K326" t="s">
        <v>22</v>
      </c>
      <c r="L326">
        <v>1434862800</v>
      </c>
      <c r="M326">
        <v>1435899600</v>
      </c>
      <c r="N326" s="19">
        <f t="shared" si="22"/>
        <v>42176.208333333328</v>
      </c>
      <c r="O326" s="19">
        <f t="shared" si="23"/>
        <v>42188.208333333328</v>
      </c>
      <c r="P326" t="b">
        <v>0</v>
      </c>
      <c r="Q326" t="b">
        <v>1</v>
      </c>
      <c r="R326" t="s">
        <v>33</v>
      </c>
      <c r="S326" t="s">
        <v>2037</v>
      </c>
      <c r="T326" t="s">
        <v>2038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>
        <f t="shared" si="20"/>
        <v>91</v>
      </c>
      <c r="G327" s="4" t="s">
        <v>14</v>
      </c>
      <c r="H327">
        <v>73</v>
      </c>
      <c r="I327">
        <f t="shared" si="21"/>
        <v>80.78</v>
      </c>
      <c r="J327" t="s">
        <v>21</v>
      </c>
      <c r="K327" t="s">
        <v>22</v>
      </c>
      <c r="L327">
        <v>1529125200</v>
      </c>
      <c r="M327">
        <v>1531112400</v>
      </c>
      <c r="N327" s="19">
        <f t="shared" si="22"/>
        <v>43267.208333333328</v>
      </c>
      <c r="O327" s="19">
        <f t="shared" si="23"/>
        <v>43290.208333333328</v>
      </c>
      <c r="P327" t="b">
        <v>0</v>
      </c>
      <c r="Q327" t="b">
        <v>1</v>
      </c>
      <c r="R327" t="s">
        <v>33</v>
      </c>
      <c r="S327" t="s">
        <v>2037</v>
      </c>
      <c r="T327" t="s">
        <v>2038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>
        <f t="shared" si="20"/>
        <v>46</v>
      </c>
      <c r="G328" s="4" t="s">
        <v>14</v>
      </c>
      <c r="H328">
        <v>128</v>
      </c>
      <c r="I328">
        <f t="shared" si="21"/>
        <v>25.98</v>
      </c>
      <c r="J328" t="s">
        <v>21</v>
      </c>
      <c r="K328" t="s">
        <v>22</v>
      </c>
      <c r="L328">
        <v>1451109600</v>
      </c>
      <c r="M328">
        <v>1451628000</v>
      </c>
      <c r="N328" s="19">
        <f t="shared" si="22"/>
        <v>42364.25</v>
      </c>
      <c r="O328" s="19">
        <f t="shared" si="23"/>
        <v>42370.25</v>
      </c>
      <c r="P328" t="b">
        <v>0</v>
      </c>
      <c r="Q328" t="b">
        <v>0</v>
      </c>
      <c r="R328" t="s">
        <v>71</v>
      </c>
      <c r="S328" t="s">
        <v>2039</v>
      </c>
      <c r="T328" t="s">
        <v>2047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>
        <f t="shared" si="20"/>
        <v>39</v>
      </c>
      <c r="G329" s="4" t="s">
        <v>14</v>
      </c>
      <c r="H329">
        <v>33</v>
      </c>
      <c r="I329">
        <f t="shared" si="21"/>
        <v>30.36</v>
      </c>
      <c r="J329" t="s">
        <v>21</v>
      </c>
      <c r="K329" t="s">
        <v>22</v>
      </c>
      <c r="L329">
        <v>1566968400</v>
      </c>
      <c r="M329">
        <v>1567314000</v>
      </c>
      <c r="N329" s="19">
        <f t="shared" si="22"/>
        <v>43705.208333333328</v>
      </c>
      <c r="O329" s="19">
        <f t="shared" si="23"/>
        <v>43709.208333333328</v>
      </c>
      <c r="P329" t="b">
        <v>0</v>
      </c>
      <c r="Q329" t="b">
        <v>1</v>
      </c>
      <c r="R329" t="s">
        <v>33</v>
      </c>
      <c r="S329" t="s">
        <v>2037</v>
      </c>
      <c r="T329" t="s">
        <v>2038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>
        <f t="shared" si="20"/>
        <v>134</v>
      </c>
      <c r="G330" s="5" t="s">
        <v>20</v>
      </c>
      <c r="H330">
        <v>2441</v>
      </c>
      <c r="I330">
        <f t="shared" si="21"/>
        <v>54</v>
      </c>
      <c r="J330" t="s">
        <v>21</v>
      </c>
      <c r="K330" t="s">
        <v>22</v>
      </c>
      <c r="L330">
        <v>1543557600</v>
      </c>
      <c r="M330">
        <v>1544508000</v>
      </c>
      <c r="N330" s="19">
        <f t="shared" si="22"/>
        <v>43434.25</v>
      </c>
      <c r="O330" s="19">
        <f t="shared" si="23"/>
        <v>43445.25</v>
      </c>
      <c r="P330" t="b">
        <v>0</v>
      </c>
      <c r="Q330" t="b">
        <v>0</v>
      </c>
      <c r="R330" t="s">
        <v>23</v>
      </c>
      <c r="S330" t="s">
        <v>2033</v>
      </c>
      <c r="T330" t="s">
        <v>2034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>
        <f t="shared" si="20"/>
        <v>23</v>
      </c>
      <c r="G331" s="6" t="s">
        <v>47</v>
      </c>
      <c r="H331">
        <v>211</v>
      </c>
      <c r="I331">
        <f t="shared" si="21"/>
        <v>101.79</v>
      </c>
      <c r="J331" t="s">
        <v>21</v>
      </c>
      <c r="K331" t="s">
        <v>22</v>
      </c>
      <c r="L331">
        <v>1481522400</v>
      </c>
      <c r="M331">
        <v>1482472800</v>
      </c>
      <c r="N331" s="19">
        <f t="shared" si="22"/>
        <v>42716.25</v>
      </c>
      <c r="O331" s="19">
        <f t="shared" si="23"/>
        <v>42727.25</v>
      </c>
      <c r="P331" t="b">
        <v>0</v>
      </c>
      <c r="Q331" t="b">
        <v>0</v>
      </c>
      <c r="R331" t="s">
        <v>89</v>
      </c>
      <c r="S331" t="s">
        <v>2048</v>
      </c>
      <c r="T331" t="s">
        <v>2049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>
        <f t="shared" si="20"/>
        <v>185</v>
      </c>
      <c r="G332" s="5" t="s">
        <v>20</v>
      </c>
      <c r="H332">
        <v>1385</v>
      </c>
      <c r="I332">
        <f t="shared" si="21"/>
        <v>45</v>
      </c>
      <c r="J332" t="s">
        <v>40</v>
      </c>
      <c r="K332" t="s">
        <v>41</v>
      </c>
      <c r="L332">
        <v>1512712800</v>
      </c>
      <c r="M332">
        <v>1512799200</v>
      </c>
      <c r="N332" s="19">
        <f t="shared" si="22"/>
        <v>43077.25</v>
      </c>
      <c r="O332" s="19">
        <f t="shared" si="23"/>
        <v>43078.25</v>
      </c>
      <c r="P332" t="b">
        <v>0</v>
      </c>
      <c r="Q332" t="b">
        <v>0</v>
      </c>
      <c r="R332" t="s">
        <v>42</v>
      </c>
      <c r="S332" t="s">
        <v>2039</v>
      </c>
      <c r="T332" t="s">
        <v>2040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>
        <f t="shared" si="20"/>
        <v>444</v>
      </c>
      <c r="G333" s="5" t="s">
        <v>20</v>
      </c>
      <c r="H333">
        <v>190</v>
      </c>
      <c r="I333">
        <f t="shared" si="21"/>
        <v>77.069999999999993</v>
      </c>
      <c r="J333" t="s">
        <v>21</v>
      </c>
      <c r="K333" t="s">
        <v>22</v>
      </c>
      <c r="L333">
        <v>1324274400</v>
      </c>
      <c r="M333">
        <v>1324360800</v>
      </c>
      <c r="N333" s="19">
        <f t="shared" si="22"/>
        <v>40896.25</v>
      </c>
      <c r="O333" s="19">
        <f t="shared" si="23"/>
        <v>40897.25</v>
      </c>
      <c r="P333" t="b">
        <v>0</v>
      </c>
      <c r="Q333" t="b">
        <v>0</v>
      </c>
      <c r="R333" t="s">
        <v>17</v>
      </c>
      <c r="S333" t="s">
        <v>2031</v>
      </c>
      <c r="T333" t="s">
        <v>2032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>
        <f t="shared" si="20"/>
        <v>200</v>
      </c>
      <c r="G334" s="5" t="s">
        <v>20</v>
      </c>
      <c r="H334">
        <v>470</v>
      </c>
      <c r="I334">
        <f t="shared" si="21"/>
        <v>88.08</v>
      </c>
      <c r="J334" t="s">
        <v>21</v>
      </c>
      <c r="K334" t="s">
        <v>22</v>
      </c>
      <c r="L334">
        <v>1364446800</v>
      </c>
      <c r="M334">
        <v>1364533200</v>
      </c>
      <c r="N334" s="19">
        <f t="shared" si="22"/>
        <v>41361.208333333336</v>
      </c>
      <c r="O334" s="19">
        <f t="shared" si="23"/>
        <v>41362.208333333336</v>
      </c>
      <c r="P334" t="b">
        <v>0</v>
      </c>
      <c r="Q334" t="b">
        <v>0</v>
      </c>
      <c r="R334" t="s">
        <v>65</v>
      </c>
      <c r="S334" t="s">
        <v>2035</v>
      </c>
      <c r="T334" t="s">
        <v>2044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>
        <f t="shared" si="20"/>
        <v>124</v>
      </c>
      <c r="G335" s="5" t="s">
        <v>20</v>
      </c>
      <c r="H335">
        <v>253</v>
      </c>
      <c r="I335">
        <f t="shared" si="21"/>
        <v>47.04</v>
      </c>
      <c r="J335" t="s">
        <v>21</v>
      </c>
      <c r="K335" t="s">
        <v>22</v>
      </c>
      <c r="L335">
        <v>1542693600</v>
      </c>
      <c r="M335">
        <v>1545112800</v>
      </c>
      <c r="N335" s="19">
        <f t="shared" si="22"/>
        <v>43424.25</v>
      </c>
      <c r="O335" s="19">
        <f t="shared" si="23"/>
        <v>43452.25</v>
      </c>
      <c r="P335" t="b">
        <v>0</v>
      </c>
      <c r="Q335" t="b">
        <v>0</v>
      </c>
      <c r="R335" t="s">
        <v>33</v>
      </c>
      <c r="S335" t="s">
        <v>2037</v>
      </c>
      <c r="T335" t="s">
        <v>2038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>
        <f t="shared" si="20"/>
        <v>187</v>
      </c>
      <c r="G336" s="5" t="s">
        <v>20</v>
      </c>
      <c r="H336">
        <v>1113</v>
      </c>
      <c r="I336">
        <f t="shared" si="21"/>
        <v>111</v>
      </c>
      <c r="J336" t="s">
        <v>21</v>
      </c>
      <c r="K336" t="s">
        <v>22</v>
      </c>
      <c r="L336">
        <v>1515564000</v>
      </c>
      <c r="M336">
        <v>1516168800</v>
      </c>
      <c r="N336" s="19">
        <f t="shared" si="22"/>
        <v>43110.25</v>
      </c>
      <c r="O336" s="19">
        <f t="shared" si="23"/>
        <v>43117.25</v>
      </c>
      <c r="P336" t="b">
        <v>0</v>
      </c>
      <c r="Q336" t="b">
        <v>0</v>
      </c>
      <c r="R336" t="s">
        <v>23</v>
      </c>
      <c r="S336" t="s">
        <v>2033</v>
      </c>
      <c r="T336" t="s">
        <v>2034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>
        <f t="shared" si="20"/>
        <v>114</v>
      </c>
      <c r="G337" s="5" t="s">
        <v>20</v>
      </c>
      <c r="H337">
        <v>2283</v>
      </c>
      <c r="I337">
        <f t="shared" si="21"/>
        <v>87</v>
      </c>
      <c r="J337" t="s">
        <v>21</v>
      </c>
      <c r="K337" t="s">
        <v>22</v>
      </c>
      <c r="L337">
        <v>1573797600</v>
      </c>
      <c r="M337">
        <v>1574920800</v>
      </c>
      <c r="N337" s="19">
        <f t="shared" si="22"/>
        <v>43784.25</v>
      </c>
      <c r="O337" s="19">
        <f t="shared" si="23"/>
        <v>43797.25</v>
      </c>
      <c r="P337" t="b">
        <v>0</v>
      </c>
      <c r="Q337" t="b">
        <v>0</v>
      </c>
      <c r="R337" t="s">
        <v>23</v>
      </c>
      <c r="S337" t="s">
        <v>2033</v>
      </c>
      <c r="T337" t="s">
        <v>2034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>
        <f t="shared" si="20"/>
        <v>97</v>
      </c>
      <c r="G338" s="4" t="s">
        <v>14</v>
      </c>
      <c r="H338">
        <v>1072</v>
      </c>
      <c r="I338">
        <f t="shared" si="21"/>
        <v>63.99</v>
      </c>
      <c r="J338" t="s">
        <v>21</v>
      </c>
      <c r="K338" t="s">
        <v>22</v>
      </c>
      <c r="L338">
        <v>1292392800</v>
      </c>
      <c r="M338">
        <v>1292479200</v>
      </c>
      <c r="N338" s="19">
        <f t="shared" si="22"/>
        <v>40527.25</v>
      </c>
      <c r="O338" s="19">
        <f t="shared" si="23"/>
        <v>40528.25</v>
      </c>
      <c r="P338" t="b">
        <v>0</v>
      </c>
      <c r="Q338" t="b">
        <v>1</v>
      </c>
      <c r="R338" t="s">
        <v>23</v>
      </c>
      <c r="S338" t="s">
        <v>2033</v>
      </c>
      <c r="T338" t="s">
        <v>2034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>
        <f t="shared" si="20"/>
        <v>123</v>
      </c>
      <c r="G339" s="5" t="s">
        <v>20</v>
      </c>
      <c r="H339">
        <v>1095</v>
      </c>
      <c r="I339">
        <f t="shared" si="21"/>
        <v>105.99</v>
      </c>
      <c r="J339" t="s">
        <v>21</v>
      </c>
      <c r="K339" t="s">
        <v>22</v>
      </c>
      <c r="L339">
        <v>1573452000</v>
      </c>
      <c r="M339">
        <v>1573538400</v>
      </c>
      <c r="N339" s="19">
        <f t="shared" si="22"/>
        <v>43780.25</v>
      </c>
      <c r="O339" s="19">
        <f t="shared" si="23"/>
        <v>43781.25</v>
      </c>
      <c r="P339" t="b">
        <v>0</v>
      </c>
      <c r="Q339" t="b">
        <v>0</v>
      </c>
      <c r="R339" t="s">
        <v>33</v>
      </c>
      <c r="S339" t="s">
        <v>2037</v>
      </c>
      <c r="T339" t="s">
        <v>2038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>
        <f t="shared" si="20"/>
        <v>179</v>
      </c>
      <c r="G340" s="5" t="s">
        <v>20</v>
      </c>
      <c r="H340">
        <v>1690</v>
      </c>
      <c r="I340">
        <f t="shared" si="21"/>
        <v>73.989999999999995</v>
      </c>
      <c r="J340" t="s">
        <v>21</v>
      </c>
      <c r="K340" t="s">
        <v>22</v>
      </c>
      <c r="L340">
        <v>1317790800</v>
      </c>
      <c r="M340">
        <v>1320382800</v>
      </c>
      <c r="N340" s="19">
        <f t="shared" si="22"/>
        <v>40821.208333333336</v>
      </c>
      <c r="O340" s="19">
        <f t="shared" si="23"/>
        <v>40851.208333333336</v>
      </c>
      <c r="P340" t="b">
        <v>0</v>
      </c>
      <c r="Q340" t="b">
        <v>0</v>
      </c>
      <c r="R340" t="s">
        <v>33</v>
      </c>
      <c r="S340" t="s">
        <v>2037</v>
      </c>
      <c r="T340" t="s">
        <v>2038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>
        <f t="shared" si="20"/>
        <v>80</v>
      </c>
      <c r="G341" s="7" t="s">
        <v>74</v>
      </c>
      <c r="H341">
        <v>1297</v>
      </c>
      <c r="I341">
        <f t="shared" si="21"/>
        <v>84.02</v>
      </c>
      <c r="J341" t="s">
        <v>15</v>
      </c>
      <c r="K341" t="s">
        <v>16</v>
      </c>
      <c r="L341">
        <v>1501650000</v>
      </c>
      <c r="M341">
        <v>1502859600</v>
      </c>
      <c r="N341" s="19">
        <f t="shared" si="22"/>
        <v>42949.208333333328</v>
      </c>
      <c r="O341" s="19">
        <f t="shared" si="23"/>
        <v>42963.208333333328</v>
      </c>
      <c r="P341" t="b">
        <v>0</v>
      </c>
      <c r="Q341" t="b">
        <v>0</v>
      </c>
      <c r="R341" t="s">
        <v>33</v>
      </c>
      <c r="S341" t="s">
        <v>2037</v>
      </c>
      <c r="T341" t="s">
        <v>2038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>
        <f t="shared" si="20"/>
        <v>94</v>
      </c>
      <c r="G342" s="4" t="s">
        <v>14</v>
      </c>
      <c r="H342">
        <v>393</v>
      </c>
      <c r="I342">
        <f t="shared" si="21"/>
        <v>88.97</v>
      </c>
      <c r="J342" t="s">
        <v>21</v>
      </c>
      <c r="K342" t="s">
        <v>22</v>
      </c>
      <c r="L342">
        <v>1323669600</v>
      </c>
      <c r="M342">
        <v>1323756000</v>
      </c>
      <c r="N342" s="19">
        <f t="shared" si="22"/>
        <v>40889.25</v>
      </c>
      <c r="O342" s="19">
        <f t="shared" si="23"/>
        <v>40890.25</v>
      </c>
      <c r="P342" t="b">
        <v>0</v>
      </c>
      <c r="Q342" t="b">
        <v>0</v>
      </c>
      <c r="R342" t="s">
        <v>122</v>
      </c>
      <c r="S342" t="s">
        <v>2052</v>
      </c>
      <c r="T342" t="s">
        <v>2053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>
        <f t="shared" si="20"/>
        <v>85</v>
      </c>
      <c r="G343" s="4" t="s">
        <v>14</v>
      </c>
      <c r="H343">
        <v>1257</v>
      </c>
      <c r="I343">
        <f t="shared" si="21"/>
        <v>76.989999999999995</v>
      </c>
      <c r="J343" t="s">
        <v>21</v>
      </c>
      <c r="K343" t="s">
        <v>22</v>
      </c>
      <c r="L343">
        <v>1440738000</v>
      </c>
      <c r="M343">
        <v>1441342800</v>
      </c>
      <c r="N343" s="19">
        <f t="shared" si="22"/>
        <v>42244.208333333328</v>
      </c>
      <c r="O343" s="19">
        <f t="shared" si="23"/>
        <v>42251.208333333328</v>
      </c>
      <c r="P343" t="b">
        <v>0</v>
      </c>
      <c r="Q343" t="b">
        <v>0</v>
      </c>
      <c r="R343" t="s">
        <v>60</v>
      </c>
      <c r="S343" t="s">
        <v>2033</v>
      </c>
      <c r="T343" t="s">
        <v>2043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>
        <f t="shared" si="20"/>
        <v>67</v>
      </c>
      <c r="G344" s="4" t="s">
        <v>14</v>
      </c>
      <c r="H344">
        <v>328</v>
      </c>
      <c r="I344">
        <f t="shared" si="21"/>
        <v>97.15</v>
      </c>
      <c r="J344" t="s">
        <v>21</v>
      </c>
      <c r="K344" t="s">
        <v>22</v>
      </c>
      <c r="L344">
        <v>1374296400</v>
      </c>
      <c r="M344">
        <v>1375333200</v>
      </c>
      <c r="N344" s="19">
        <f t="shared" si="22"/>
        <v>41475.208333333336</v>
      </c>
      <c r="O344" s="19">
        <f t="shared" si="23"/>
        <v>41487.208333333336</v>
      </c>
      <c r="P344" t="b">
        <v>0</v>
      </c>
      <c r="Q344" t="b">
        <v>0</v>
      </c>
      <c r="R344" t="s">
        <v>33</v>
      </c>
      <c r="S344" t="s">
        <v>2037</v>
      </c>
      <c r="T344" t="s">
        <v>2038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>
        <f t="shared" si="20"/>
        <v>54</v>
      </c>
      <c r="G345" s="4" t="s">
        <v>14</v>
      </c>
      <c r="H345">
        <v>147</v>
      </c>
      <c r="I345">
        <f t="shared" si="21"/>
        <v>33.01</v>
      </c>
      <c r="J345" t="s">
        <v>21</v>
      </c>
      <c r="K345" t="s">
        <v>22</v>
      </c>
      <c r="L345">
        <v>1384840800</v>
      </c>
      <c r="M345">
        <v>1389420000</v>
      </c>
      <c r="N345" s="19">
        <f t="shared" si="22"/>
        <v>41597.25</v>
      </c>
      <c r="O345" s="19">
        <f t="shared" si="23"/>
        <v>41650.25</v>
      </c>
      <c r="P345" t="b">
        <v>0</v>
      </c>
      <c r="Q345" t="b">
        <v>0</v>
      </c>
      <c r="R345" t="s">
        <v>33</v>
      </c>
      <c r="S345" t="s">
        <v>2037</v>
      </c>
      <c r="T345" t="s">
        <v>2038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>
        <f t="shared" si="20"/>
        <v>42</v>
      </c>
      <c r="G346" s="4" t="s">
        <v>14</v>
      </c>
      <c r="H346">
        <v>830</v>
      </c>
      <c r="I346">
        <f t="shared" si="21"/>
        <v>99.95</v>
      </c>
      <c r="J346" t="s">
        <v>21</v>
      </c>
      <c r="K346" t="s">
        <v>22</v>
      </c>
      <c r="L346">
        <v>1516600800</v>
      </c>
      <c r="M346">
        <v>1520056800</v>
      </c>
      <c r="N346" s="19">
        <f t="shared" si="22"/>
        <v>43122.25</v>
      </c>
      <c r="O346" s="19">
        <f t="shared" si="23"/>
        <v>43162.25</v>
      </c>
      <c r="P346" t="b">
        <v>0</v>
      </c>
      <c r="Q346" t="b">
        <v>0</v>
      </c>
      <c r="R346" t="s">
        <v>89</v>
      </c>
      <c r="S346" t="s">
        <v>2048</v>
      </c>
      <c r="T346" t="s">
        <v>2049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>
        <f t="shared" si="20"/>
        <v>15</v>
      </c>
      <c r="G347" s="4" t="s">
        <v>14</v>
      </c>
      <c r="H347">
        <v>331</v>
      </c>
      <c r="I347">
        <f t="shared" si="21"/>
        <v>69.97</v>
      </c>
      <c r="J347" t="s">
        <v>40</v>
      </c>
      <c r="K347" t="s">
        <v>41</v>
      </c>
      <c r="L347">
        <v>1436418000</v>
      </c>
      <c r="M347">
        <v>1436504400</v>
      </c>
      <c r="N347" s="19">
        <f t="shared" si="22"/>
        <v>42194.208333333328</v>
      </c>
      <c r="O347" s="19">
        <f t="shared" si="23"/>
        <v>42195.208333333328</v>
      </c>
      <c r="P347" t="b">
        <v>0</v>
      </c>
      <c r="Q347" t="b">
        <v>0</v>
      </c>
      <c r="R347" t="s">
        <v>53</v>
      </c>
      <c r="S347" t="s">
        <v>2039</v>
      </c>
      <c r="T347" t="s">
        <v>2042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>
        <f t="shared" si="20"/>
        <v>34</v>
      </c>
      <c r="G348" s="4" t="s">
        <v>14</v>
      </c>
      <c r="H348">
        <v>25</v>
      </c>
      <c r="I348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s="19">
        <f t="shared" si="22"/>
        <v>42971.208333333328</v>
      </c>
      <c r="O348" s="19">
        <f t="shared" si="23"/>
        <v>43026.208333333328</v>
      </c>
      <c r="P348" t="b">
        <v>0</v>
      </c>
      <c r="Q348" t="b">
        <v>1</v>
      </c>
      <c r="R348" t="s">
        <v>60</v>
      </c>
      <c r="S348" t="s">
        <v>2033</v>
      </c>
      <c r="T348" t="s">
        <v>2043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>
        <f t="shared" si="20"/>
        <v>1401</v>
      </c>
      <c r="G349" s="5" t="s">
        <v>20</v>
      </c>
      <c r="H349">
        <v>191</v>
      </c>
      <c r="I349">
        <f t="shared" si="21"/>
        <v>66.010000000000005</v>
      </c>
      <c r="J349" t="s">
        <v>21</v>
      </c>
      <c r="K349" t="s">
        <v>22</v>
      </c>
      <c r="L349">
        <v>1423634400</v>
      </c>
      <c r="M349">
        <v>1425708000</v>
      </c>
      <c r="N349" s="19">
        <f t="shared" si="22"/>
        <v>42046.25</v>
      </c>
      <c r="O349" s="19">
        <f t="shared" si="23"/>
        <v>42070.25</v>
      </c>
      <c r="P349" t="b">
        <v>0</v>
      </c>
      <c r="Q349" t="b">
        <v>0</v>
      </c>
      <c r="R349" t="s">
        <v>28</v>
      </c>
      <c r="S349" t="s">
        <v>2035</v>
      </c>
      <c r="T349" t="s">
        <v>2036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>
        <f t="shared" si="20"/>
        <v>72</v>
      </c>
      <c r="G350" s="4" t="s">
        <v>14</v>
      </c>
      <c r="H350">
        <v>3483</v>
      </c>
      <c r="I350">
        <f t="shared" si="21"/>
        <v>41.01</v>
      </c>
      <c r="J350" t="s">
        <v>21</v>
      </c>
      <c r="K350" t="s">
        <v>22</v>
      </c>
      <c r="L350">
        <v>1487224800</v>
      </c>
      <c r="M350">
        <v>1488348000</v>
      </c>
      <c r="N350" s="19">
        <f t="shared" si="22"/>
        <v>42782.25</v>
      </c>
      <c r="O350" s="19">
        <f t="shared" si="23"/>
        <v>42795.25</v>
      </c>
      <c r="P350" t="b">
        <v>0</v>
      </c>
      <c r="Q350" t="b">
        <v>0</v>
      </c>
      <c r="R350" t="s">
        <v>17</v>
      </c>
      <c r="S350" t="s">
        <v>2031</v>
      </c>
      <c r="T350" t="s">
        <v>2032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>
        <f t="shared" si="20"/>
        <v>53</v>
      </c>
      <c r="G351" s="4" t="s">
        <v>14</v>
      </c>
      <c r="H351">
        <v>923</v>
      </c>
      <c r="I351">
        <f t="shared" si="21"/>
        <v>103.96</v>
      </c>
      <c r="J351" t="s">
        <v>21</v>
      </c>
      <c r="K351" t="s">
        <v>22</v>
      </c>
      <c r="L351">
        <v>1500008400</v>
      </c>
      <c r="M351">
        <v>1502600400</v>
      </c>
      <c r="N351" s="19">
        <f t="shared" si="22"/>
        <v>42930.208333333328</v>
      </c>
      <c r="O351" s="19">
        <f t="shared" si="23"/>
        <v>42960.208333333328</v>
      </c>
      <c r="P351" t="b">
        <v>0</v>
      </c>
      <c r="Q351" t="b">
        <v>0</v>
      </c>
      <c r="R351" t="s">
        <v>33</v>
      </c>
      <c r="S351" t="s">
        <v>2037</v>
      </c>
      <c r="T351" t="s">
        <v>2038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>
        <f t="shared" si="20"/>
        <v>5</v>
      </c>
      <c r="G352" s="4" t="s">
        <v>14</v>
      </c>
      <c r="H352">
        <v>1</v>
      </c>
      <c r="I352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s="19">
        <f t="shared" si="22"/>
        <v>42144.208333333328</v>
      </c>
      <c r="O352" s="19">
        <f t="shared" si="23"/>
        <v>42162.208333333328</v>
      </c>
      <c r="P352" t="b">
        <v>0</v>
      </c>
      <c r="Q352" t="b">
        <v>1</v>
      </c>
      <c r="R352" t="s">
        <v>159</v>
      </c>
      <c r="S352" t="s">
        <v>2033</v>
      </c>
      <c r="T352" t="s">
        <v>2056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>
        <f t="shared" si="20"/>
        <v>128</v>
      </c>
      <c r="G353" s="5" t="s">
        <v>20</v>
      </c>
      <c r="H353">
        <v>2013</v>
      </c>
      <c r="I353">
        <f t="shared" si="21"/>
        <v>47.01</v>
      </c>
      <c r="J353" t="s">
        <v>21</v>
      </c>
      <c r="K353" t="s">
        <v>22</v>
      </c>
      <c r="L353">
        <v>1440392400</v>
      </c>
      <c r="M353">
        <v>1441602000</v>
      </c>
      <c r="N353" s="19">
        <f t="shared" si="22"/>
        <v>42240.208333333328</v>
      </c>
      <c r="O353" s="19">
        <f t="shared" si="23"/>
        <v>42254.208333333328</v>
      </c>
      <c r="P353" t="b">
        <v>0</v>
      </c>
      <c r="Q353" t="b">
        <v>0</v>
      </c>
      <c r="R353" t="s">
        <v>23</v>
      </c>
      <c r="S353" t="s">
        <v>2033</v>
      </c>
      <c r="T353" t="s">
        <v>2034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>
        <f t="shared" si="20"/>
        <v>35</v>
      </c>
      <c r="G354" s="4" t="s">
        <v>14</v>
      </c>
      <c r="H354">
        <v>33</v>
      </c>
      <c r="I354">
        <f t="shared" si="21"/>
        <v>29.61</v>
      </c>
      <c r="J354" t="s">
        <v>15</v>
      </c>
      <c r="K354" t="s">
        <v>16</v>
      </c>
      <c r="L354">
        <v>1446876000</v>
      </c>
      <c r="M354">
        <v>1447567200</v>
      </c>
      <c r="N354" s="19">
        <f t="shared" si="22"/>
        <v>42315.25</v>
      </c>
      <c r="O354" s="19">
        <f t="shared" si="23"/>
        <v>42323.25</v>
      </c>
      <c r="P354" t="b">
        <v>0</v>
      </c>
      <c r="Q354" t="b">
        <v>0</v>
      </c>
      <c r="R354" t="s">
        <v>33</v>
      </c>
      <c r="S354" t="s">
        <v>2037</v>
      </c>
      <c r="T354" t="s">
        <v>2038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>
        <f t="shared" si="20"/>
        <v>411</v>
      </c>
      <c r="G355" s="5" t="s">
        <v>20</v>
      </c>
      <c r="H355">
        <v>1703</v>
      </c>
      <c r="I355">
        <f t="shared" si="21"/>
        <v>81.010000000000005</v>
      </c>
      <c r="J355" t="s">
        <v>21</v>
      </c>
      <c r="K355" t="s">
        <v>22</v>
      </c>
      <c r="L355">
        <v>1562302800</v>
      </c>
      <c r="M355">
        <v>1562389200</v>
      </c>
      <c r="N355" s="19">
        <f t="shared" si="22"/>
        <v>43651.208333333328</v>
      </c>
      <c r="O355" s="19">
        <f t="shared" si="23"/>
        <v>43652.208333333328</v>
      </c>
      <c r="P355" t="b">
        <v>0</v>
      </c>
      <c r="Q355" t="b">
        <v>0</v>
      </c>
      <c r="R355" t="s">
        <v>33</v>
      </c>
      <c r="S355" t="s">
        <v>2037</v>
      </c>
      <c r="T355" t="s">
        <v>2038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>
        <f t="shared" si="20"/>
        <v>124</v>
      </c>
      <c r="G356" s="5" t="s">
        <v>20</v>
      </c>
      <c r="H356">
        <v>80</v>
      </c>
      <c r="I356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s="19">
        <f t="shared" si="22"/>
        <v>41520.208333333336</v>
      </c>
      <c r="O356" s="19">
        <f t="shared" si="23"/>
        <v>41527.208333333336</v>
      </c>
      <c r="P356" t="b">
        <v>0</v>
      </c>
      <c r="Q356" t="b">
        <v>0</v>
      </c>
      <c r="R356" t="s">
        <v>42</v>
      </c>
      <c r="S356" t="s">
        <v>2039</v>
      </c>
      <c r="T356" t="s">
        <v>2040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>
        <f t="shared" si="20"/>
        <v>59</v>
      </c>
      <c r="G357" s="6" t="s">
        <v>47</v>
      </c>
      <c r="H357">
        <v>86</v>
      </c>
      <c r="I357">
        <f t="shared" si="21"/>
        <v>26.06</v>
      </c>
      <c r="J357" t="s">
        <v>21</v>
      </c>
      <c r="K357" t="s">
        <v>22</v>
      </c>
      <c r="L357">
        <v>1485064800</v>
      </c>
      <c r="M357">
        <v>1488520800</v>
      </c>
      <c r="N357" s="19">
        <f t="shared" si="22"/>
        <v>42757.25</v>
      </c>
      <c r="O357" s="19">
        <f t="shared" si="23"/>
        <v>42797.25</v>
      </c>
      <c r="P357" t="b">
        <v>0</v>
      </c>
      <c r="Q357" t="b">
        <v>0</v>
      </c>
      <c r="R357" t="s">
        <v>65</v>
      </c>
      <c r="S357" t="s">
        <v>2035</v>
      </c>
      <c r="T357" t="s">
        <v>2044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>
        <f t="shared" si="20"/>
        <v>37</v>
      </c>
      <c r="G358" s="4" t="s">
        <v>14</v>
      </c>
      <c r="H358">
        <v>40</v>
      </c>
      <c r="I358">
        <f t="shared" si="21"/>
        <v>85.78</v>
      </c>
      <c r="J358" t="s">
        <v>107</v>
      </c>
      <c r="K358" t="s">
        <v>108</v>
      </c>
      <c r="L358">
        <v>1326520800</v>
      </c>
      <c r="M358">
        <v>1327298400</v>
      </c>
      <c r="N358" s="19">
        <f t="shared" si="22"/>
        <v>40922.25</v>
      </c>
      <c r="O358" s="19">
        <f t="shared" si="23"/>
        <v>40931.25</v>
      </c>
      <c r="P358" t="b">
        <v>0</v>
      </c>
      <c r="Q358" t="b">
        <v>0</v>
      </c>
      <c r="R358" t="s">
        <v>33</v>
      </c>
      <c r="S358" t="s">
        <v>2037</v>
      </c>
      <c r="T358" t="s">
        <v>2038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>
        <f t="shared" si="20"/>
        <v>185</v>
      </c>
      <c r="G359" s="5" t="s">
        <v>20</v>
      </c>
      <c r="H359">
        <v>41</v>
      </c>
      <c r="I359">
        <f t="shared" si="21"/>
        <v>103.73</v>
      </c>
      <c r="J359" t="s">
        <v>21</v>
      </c>
      <c r="K359" t="s">
        <v>22</v>
      </c>
      <c r="L359">
        <v>1441256400</v>
      </c>
      <c r="M359">
        <v>1443416400</v>
      </c>
      <c r="N359" s="19">
        <f t="shared" si="22"/>
        <v>42250.208333333328</v>
      </c>
      <c r="O359" s="19">
        <f t="shared" si="23"/>
        <v>42275.208333333328</v>
      </c>
      <c r="P359" t="b">
        <v>0</v>
      </c>
      <c r="Q359" t="b">
        <v>0</v>
      </c>
      <c r="R359" t="s">
        <v>89</v>
      </c>
      <c r="S359" t="s">
        <v>2048</v>
      </c>
      <c r="T359" t="s">
        <v>2049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>
        <f t="shared" si="20"/>
        <v>12</v>
      </c>
      <c r="G360" s="4" t="s">
        <v>14</v>
      </c>
      <c r="H360">
        <v>23</v>
      </c>
      <c r="I360">
        <f t="shared" si="21"/>
        <v>49.83</v>
      </c>
      <c r="J360" t="s">
        <v>15</v>
      </c>
      <c r="K360" t="s">
        <v>16</v>
      </c>
      <c r="L360">
        <v>1533877200</v>
      </c>
      <c r="M360">
        <v>1534136400</v>
      </c>
      <c r="N360" s="19">
        <f t="shared" si="22"/>
        <v>43322.208333333328</v>
      </c>
      <c r="O360" s="19">
        <f t="shared" si="23"/>
        <v>43325.208333333328</v>
      </c>
      <c r="P360" t="b">
        <v>1</v>
      </c>
      <c r="Q360" t="b">
        <v>0</v>
      </c>
      <c r="R360" t="s">
        <v>122</v>
      </c>
      <c r="S360" t="s">
        <v>2052</v>
      </c>
      <c r="T360" t="s">
        <v>2053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>
        <f t="shared" si="20"/>
        <v>299</v>
      </c>
      <c r="G361" s="5" t="s">
        <v>20</v>
      </c>
      <c r="H361">
        <v>187</v>
      </c>
      <c r="I361">
        <f t="shared" si="21"/>
        <v>63.89</v>
      </c>
      <c r="J361" t="s">
        <v>21</v>
      </c>
      <c r="K361" t="s">
        <v>22</v>
      </c>
      <c r="L361">
        <v>1314421200</v>
      </c>
      <c r="M361">
        <v>1315026000</v>
      </c>
      <c r="N361" s="19">
        <f t="shared" si="22"/>
        <v>40782.208333333336</v>
      </c>
      <c r="O361" s="19">
        <f t="shared" si="23"/>
        <v>40789.208333333336</v>
      </c>
      <c r="P361" t="b">
        <v>0</v>
      </c>
      <c r="Q361" t="b">
        <v>0</v>
      </c>
      <c r="R361" t="s">
        <v>71</v>
      </c>
      <c r="S361" t="s">
        <v>2039</v>
      </c>
      <c r="T361" t="s">
        <v>2047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>
        <f t="shared" si="20"/>
        <v>226</v>
      </c>
      <c r="G362" s="5" t="s">
        <v>20</v>
      </c>
      <c r="H362">
        <v>2875</v>
      </c>
      <c r="I362">
        <f t="shared" si="21"/>
        <v>47</v>
      </c>
      <c r="J362" t="s">
        <v>40</v>
      </c>
      <c r="K362" t="s">
        <v>41</v>
      </c>
      <c r="L362">
        <v>1293861600</v>
      </c>
      <c r="M362">
        <v>1295071200</v>
      </c>
      <c r="N362" s="19">
        <f t="shared" si="22"/>
        <v>40544.25</v>
      </c>
      <c r="O362" s="19">
        <f t="shared" si="23"/>
        <v>40558.25</v>
      </c>
      <c r="P362" t="b">
        <v>0</v>
      </c>
      <c r="Q362" t="b">
        <v>1</v>
      </c>
      <c r="R362" t="s">
        <v>33</v>
      </c>
      <c r="S362" t="s">
        <v>2037</v>
      </c>
      <c r="T362" t="s">
        <v>2038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>
        <f t="shared" si="20"/>
        <v>174</v>
      </c>
      <c r="G363" s="5" t="s">
        <v>20</v>
      </c>
      <c r="H363">
        <v>88</v>
      </c>
      <c r="I363">
        <f t="shared" si="21"/>
        <v>108.48</v>
      </c>
      <c r="J363" t="s">
        <v>21</v>
      </c>
      <c r="K363" t="s">
        <v>22</v>
      </c>
      <c r="L363">
        <v>1507352400</v>
      </c>
      <c r="M363">
        <v>1509426000</v>
      </c>
      <c r="N363" s="19">
        <f t="shared" si="22"/>
        <v>43015.208333333328</v>
      </c>
      <c r="O363" s="19">
        <f t="shared" si="23"/>
        <v>43039.208333333328</v>
      </c>
      <c r="P363" t="b">
        <v>0</v>
      </c>
      <c r="Q363" t="b">
        <v>0</v>
      </c>
      <c r="R363" t="s">
        <v>33</v>
      </c>
      <c r="S363" t="s">
        <v>2037</v>
      </c>
      <c r="T363" t="s">
        <v>2038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>
        <f t="shared" si="20"/>
        <v>372</v>
      </c>
      <c r="G364" s="5" t="s">
        <v>20</v>
      </c>
      <c r="H364">
        <v>191</v>
      </c>
      <c r="I364">
        <f t="shared" si="21"/>
        <v>72.02</v>
      </c>
      <c r="J364" t="s">
        <v>21</v>
      </c>
      <c r="K364" t="s">
        <v>22</v>
      </c>
      <c r="L364">
        <v>1296108000</v>
      </c>
      <c r="M364">
        <v>1299391200</v>
      </c>
      <c r="N364" s="19">
        <f t="shared" si="22"/>
        <v>40570.25</v>
      </c>
      <c r="O364" s="19">
        <f t="shared" si="23"/>
        <v>40608.25</v>
      </c>
      <c r="P364" t="b">
        <v>0</v>
      </c>
      <c r="Q364" t="b">
        <v>0</v>
      </c>
      <c r="R364" t="s">
        <v>23</v>
      </c>
      <c r="S364" t="s">
        <v>2033</v>
      </c>
      <c r="T364" t="s">
        <v>2034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>
        <f t="shared" si="20"/>
        <v>160</v>
      </c>
      <c r="G365" s="5" t="s">
        <v>20</v>
      </c>
      <c r="H365">
        <v>139</v>
      </c>
      <c r="I365">
        <f t="shared" si="21"/>
        <v>59.93</v>
      </c>
      <c r="J365" t="s">
        <v>21</v>
      </c>
      <c r="K365" t="s">
        <v>22</v>
      </c>
      <c r="L365">
        <v>1324965600</v>
      </c>
      <c r="M365">
        <v>1325052000</v>
      </c>
      <c r="N365" s="19">
        <f t="shared" si="22"/>
        <v>40904.25</v>
      </c>
      <c r="O365" s="19">
        <f t="shared" si="23"/>
        <v>40905.25</v>
      </c>
      <c r="P365" t="b">
        <v>0</v>
      </c>
      <c r="Q365" t="b">
        <v>0</v>
      </c>
      <c r="R365" t="s">
        <v>23</v>
      </c>
      <c r="S365" t="s">
        <v>2033</v>
      </c>
      <c r="T365" t="s">
        <v>2034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>
        <f t="shared" si="20"/>
        <v>1616</v>
      </c>
      <c r="G366" s="5" t="s">
        <v>20</v>
      </c>
      <c r="H366">
        <v>186</v>
      </c>
      <c r="I366">
        <f t="shared" si="21"/>
        <v>78.209999999999994</v>
      </c>
      <c r="J366" t="s">
        <v>21</v>
      </c>
      <c r="K366" t="s">
        <v>22</v>
      </c>
      <c r="L366">
        <v>1520229600</v>
      </c>
      <c r="M366">
        <v>1522818000</v>
      </c>
      <c r="N366" s="19">
        <f t="shared" si="22"/>
        <v>43164.25</v>
      </c>
      <c r="O366" s="19">
        <f t="shared" si="23"/>
        <v>43194.208333333328</v>
      </c>
      <c r="P366" t="b">
        <v>0</v>
      </c>
      <c r="Q366" t="b">
        <v>0</v>
      </c>
      <c r="R366" t="s">
        <v>60</v>
      </c>
      <c r="S366" t="s">
        <v>2033</v>
      </c>
      <c r="T366" t="s">
        <v>2043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>
        <f t="shared" si="20"/>
        <v>733</v>
      </c>
      <c r="G367" s="5" t="s">
        <v>20</v>
      </c>
      <c r="H367">
        <v>112</v>
      </c>
      <c r="I367">
        <f t="shared" si="21"/>
        <v>104.78</v>
      </c>
      <c r="J367" t="s">
        <v>26</v>
      </c>
      <c r="K367" t="s">
        <v>27</v>
      </c>
      <c r="L367">
        <v>1482991200</v>
      </c>
      <c r="M367">
        <v>1485324000</v>
      </c>
      <c r="N367" s="19">
        <f t="shared" si="22"/>
        <v>42733.25</v>
      </c>
      <c r="O367" s="19">
        <f t="shared" si="23"/>
        <v>42760.25</v>
      </c>
      <c r="P367" t="b">
        <v>0</v>
      </c>
      <c r="Q367" t="b">
        <v>0</v>
      </c>
      <c r="R367" t="s">
        <v>33</v>
      </c>
      <c r="S367" t="s">
        <v>2037</v>
      </c>
      <c r="T367" t="s">
        <v>2038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>
        <f t="shared" si="20"/>
        <v>592</v>
      </c>
      <c r="G368" s="5" t="s">
        <v>20</v>
      </c>
      <c r="H368">
        <v>101</v>
      </c>
      <c r="I368">
        <f t="shared" si="21"/>
        <v>105.52</v>
      </c>
      <c r="J368" t="s">
        <v>21</v>
      </c>
      <c r="K368" t="s">
        <v>22</v>
      </c>
      <c r="L368">
        <v>1294034400</v>
      </c>
      <c r="M368">
        <v>1294120800</v>
      </c>
      <c r="N368" s="19">
        <f t="shared" si="22"/>
        <v>40546.25</v>
      </c>
      <c r="O368" s="19">
        <f t="shared" si="23"/>
        <v>40547.25</v>
      </c>
      <c r="P368" t="b">
        <v>0</v>
      </c>
      <c r="Q368" t="b">
        <v>1</v>
      </c>
      <c r="R368" t="s">
        <v>33</v>
      </c>
      <c r="S368" t="s">
        <v>2037</v>
      </c>
      <c r="T368" t="s">
        <v>2038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>
        <f t="shared" si="20"/>
        <v>19</v>
      </c>
      <c r="G369" s="4" t="s">
        <v>14</v>
      </c>
      <c r="H369">
        <v>75</v>
      </c>
      <c r="I369">
        <f t="shared" si="21"/>
        <v>24.93</v>
      </c>
      <c r="J369" t="s">
        <v>21</v>
      </c>
      <c r="K369" t="s">
        <v>22</v>
      </c>
      <c r="L369">
        <v>1413608400</v>
      </c>
      <c r="M369">
        <v>1415685600</v>
      </c>
      <c r="N369" s="19">
        <f t="shared" si="22"/>
        <v>41930.208333333336</v>
      </c>
      <c r="O369" s="19">
        <f t="shared" si="23"/>
        <v>41954.25</v>
      </c>
      <c r="P369" t="b">
        <v>0</v>
      </c>
      <c r="Q369" t="b">
        <v>1</v>
      </c>
      <c r="R369" t="s">
        <v>33</v>
      </c>
      <c r="S369" t="s">
        <v>2037</v>
      </c>
      <c r="T369" t="s">
        <v>2038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>
        <f t="shared" si="20"/>
        <v>277</v>
      </c>
      <c r="G370" s="5" t="s">
        <v>20</v>
      </c>
      <c r="H370">
        <v>206</v>
      </c>
      <c r="I370">
        <f t="shared" si="21"/>
        <v>69.87</v>
      </c>
      <c r="J370" t="s">
        <v>40</v>
      </c>
      <c r="K370" t="s">
        <v>41</v>
      </c>
      <c r="L370">
        <v>1286946000</v>
      </c>
      <c r="M370">
        <v>1288933200</v>
      </c>
      <c r="N370" s="19">
        <f t="shared" si="22"/>
        <v>40464.208333333336</v>
      </c>
      <c r="O370" s="19">
        <f t="shared" si="23"/>
        <v>40487.208333333336</v>
      </c>
      <c r="P370" t="b">
        <v>0</v>
      </c>
      <c r="Q370" t="b">
        <v>1</v>
      </c>
      <c r="R370" t="s">
        <v>42</v>
      </c>
      <c r="S370" t="s">
        <v>2039</v>
      </c>
      <c r="T370" t="s">
        <v>2040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>
        <f t="shared" si="20"/>
        <v>273</v>
      </c>
      <c r="G371" s="5" t="s">
        <v>20</v>
      </c>
      <c r="H371">
        <v>154</v>
      </c>
      <c r="I371">
        <f t="shared" si="21"/>
        <v>95.73</v>
      </c>
      <c r="J371" t="s">
        <v>21</v>
      </c>
      <c r="K371" t="s">
        <v>22</v>
      </c>
      <c r="L371">
        <v>1359871200</v>
      </c>
      <c r="M371">
        <v>1363237200</v>
      </c>
      <c r="N371" s="19">
        <f t="shared" si="22"/>
        <v>41308.25</v>
      </c>
      <c r="O371" s="19">
        <f t="shared" si="23"/>
        <v>41347.208333333336</v>
      </c>
      <c r="P371" t="b">
        <v>0</v>
      </c>
      <c r="Q371" t="b">
        <v>1</v>
      </c>
      <c r="R371" t="s">
        <v>269</v>
      </c>
      <c r="S371" t="s">
        <v>2039</v>
      </c>
      <c r="T371" t="s">
        <v>2058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>
        <f t="shared" si="20"/>
        <v>159</v>
      </c>
      <c r="G372" s="5" t="s">
        <v>20</v>
      </c>
      <c r="H372">
        <v>5966</v>
      </c>
      <c r="I372">
        <f t="shared" si="21"/>
        <v>30</v>
      </c>
      <c r="J372" t="s">
        <v>21</v>
      </c>
      <c r="K372" t="s">
        <v>22</v>
      </c>
      <c r="L372">
        <v>1555304400</v>
      </c>
      <c r="M372">
        <v>1555822800</v>
      </c>
      <c r="N372" s="19">
        <f t="shared" si="22"/>
        <v>43570.208333333328</v>
      </c>
      <c r="O372" s="19">
        <f t="shared" si="23"/>
        <v>43576.208333333328</v>
      </c>
      <c r="P372" t="b">
        <v>0</v>
      </c>
      <c r="Q372" t="b">
        <v>0</v>
      </c>
      <c r="R372" t="s">
        <v>33</v>
      </c>
      <c r="S372" t="s">
        <v>2037</v>
      </c>
      <c r="T372" t="s">
        <v>2038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>
        <f t="shared" si="20"/>
        <v>68</v>
      </c>
      <c r="G373" s="4" t="s">
        <v>14</v>
      </c>
      <c r="H373">
        <v>2176</v>
      </c>
      <c r="I373">
        <f t="shared" si="21"/>
        <v>59.01</v>
      </c>
      <c r="J373" t="s">
        <v>21</v>
      </c>
      <c r="K373" t="s">
        <v>22</v>
      </c>
      <c r="L373">
        <v>1423375200</v>
      </c>
      <c r="M373">
        <v>1427778000</v>
      </c>
      <c r="N373" s="19">
        <f t="shared" si="22"/>
        <v>42043.25</v>
      </c>
      <c r="O373" s="19">
        <f t="shared" si="23"/>
        <v>42094.208333333328</v>
      </c>
      <c r="P373" t="b">
        <v>0</v>
      </c>
      <c r="Q373" t="b">
        <v>0</v>
      </c>
      <c r="R373" t="s">
        <v>33</v>
      </c>
      <c r="S373" t="s">
        <v>2037</v>
      </c>
      <c r="T373" t="s">
        <v>2038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>
        <f t="shared" si="20"/>
        <v>1592</v>
      </c>
      <c r="G374" s="5" t="s">
        <v>20</v>
      </c>
      <c r="H374">
        <v>169</v>
      </c>
      <c r="I374">
        <f t="shared" si="21"/>
        <v>84.76</v>
      </c>
      <c r="J374" t="s">
        <v>21</v>
      </c>
      <c r="K374" t="s">
        <v>22</v>
      </c>
      <c r="L374">
        <v>1420696800</v>
      </c>
      <c r="M374">
        <v>1422424800</v>
      </c>
      <c r="N374" s="19">
        <f t="shared" si="22"/>
        <v>42012.25</v>
      </c>
      <c r="O374" s="19">
        <f t="shared" si="23"/>
        <v>42032.25</v>
      </c>
      <c r="P374" t="b">
        <v>0</v>
      </c>
      <c r="Q374" t="b">
        <v>1</v>
      </c>
      <c r="R374" t="s">
        <v>42</v>
      </c>
      <c r="S374" t="s">
        <v>2039</v>
      </c>
      <c r="T374" t="s">
        <v>2040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>
        <f t="shared" si="20"/>
        <v>730</v>
      </c>
      <c r="G375" s="5" t="s">
        <v>20</v>
      </c>
      <c r="H375">
        <v>2106</v>
      </c>
      <c r="I375">
        <f t="shared" si="21"/>
        <v>78.010000000000005</v>
      </c>
      <c r="J375" t="s">
        <v>21</v>
      </c>
      <c r="K375" t="s">
        <v>22</v>
      </c>
      <c r="L375">
        <v>1502946000</v>
      </c>
      <c r="M375">
        <v>1503637200</v>
      </c>
      <c r="N375" s="19">
        <f t="shared" si="22"/>
        <v>42964.208333333328</v>
      </c>
      <c r="O375" s="19">
        <f t="shared" si="23"/>
        <v>42972.208333333328</v>
      </c>
      <c r="P375" t="b">
        <v>0</v>
      </c>
      <c r="Q375" t="b">
        <v>0</v>
      </c>
      <c r="R375" t="s">
        <v>33</v>
      </c>
      <c r="S375" t="s">
        <v>2037</v>
      </c>
      <c r="T375" t="s">
        <v>2038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>
        <f t="shared" si="20"/>
        <v>13</v>
      </c>
      <c r="G376" s="4" t="s">
        <v>14</v>
      </c>
      <c r="H376">
        <v>441</v>
      </c>
      <c r="I376">
        <f t="shared" si="21"/>
        <v>50.05</v>
      </c>
      <c r="J376" t="s">
        <v>21</v>
      </c>
      <c r="K376" t="s">
        <v>22</v>
      </c>
      <c r="L376">
        <v>1547186400</v>
      </c>
      <c r="M376">
        <v>1547618400</v>
      </c>
      <c r="N376" s="19">
        <f t="shared" si="22"/>
        <v>43476.25</v>
      </c>
      <c r="O376" s="19">
        <f t="shared" si="23"/>
        <v>43481.25</v>
      </c>
      <c r="P376" t="b">
        <v>0</v>
      </c>
      <c r="Q376" t="b">
        <v>1</v>
      </c>
      <c r="R376" t="s">
        <v>42</v>
      </c>
      <c r="S376" t="s">
        <v>2039</v>
      </c>
      <c r="T376" t="s">
        <v>2040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>
        <f t="shared" si="20"/>
        <v>55</v>
      </c>
      <c r="G377" s="4" t="s">
        <v>14</v>
      </c>
      <c r="H377">
        <v>25</v>
      </c>
      <c r="I377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s="19">
        <f t="shared" si="22"/>
        <v>42293.208333333328</v>
      </c>
      <c r="O377" s="19">
        <f t="shared" si="23"/>
        <v>42350.25</v>
      </c>
      <c r="P377" t="b">
        <v>0</v>
      </c>
      <c r="Q377" t="b">
        <v>0</v>
      </c>
      <c r="R377" t="s">
        <v>60</v>
      </c>
      <c r="S377" t="s">
        <v>2033</v>
      </c>
      <c r="T377" t="s">
        <v>2043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>
        <f t="shared" si="20"/>
        <v>361</v>
      </c>
      <c r="G378" s="5" t="s">
        <v>20</v>
      </c>
      <c r="H378">
        <v>131</v>
      </c>
      <c r="I378">
        <f t="shared" si="21"/>
        <v>93.7</v>
      </c>
      <c r="J378" t="s">
        <v>21</v>
      </c>
      <c r="K378" t="s">
        <v>22</v>
      </c>
      <c r="L378">
        <v>1404622800</v>
      </c>
      <c r="M378">
        <v>1405141200</v>
      </c>
      <c r="N378" s="19">
        <f t="shared" si="22"/>
        <v>41826.208333333336</v>
      </c>
      <c r="O378" s="19">
        <f t="shared" si="23"/>
        <v>41832.208333333336</v>
      </c>
      <c r="P378" t="b">
        <v>0</v>
      </c>
      <c r="Q378" t="b">
        <v>0</v>
      </c>
      <c r="R378" t="s">
        <v>23</v>
      </c>
      <c r="S378" t="s">
        <v>2033</v>
      </c>
      <c r="T378" t="s">
        <v>2034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>
        <f t="shared" si="20"/>
        <v>10</v>
      </c>
      <c r="G379" s="4" t="s">
        <v>14</v>
      </c>
      <c r="H379">
        <v>127</v>
      </c>
      <c r="I379">
        <f t="shared" si="21"/>
        <v>40.14</v>
      </c>
      <c r="J379" t="s">
        <v>21</v>
      </c>
      <c r="K379" t="s">
        <v>22</v>
      </c>
      <c r="L379">
        <v>1571720400</v>
      </c>
      <c r="M379">
        <v>1572933600</v>
      </c>
      <c r="N379" s="19">
        <f t="shared" si="22"/>
        <v>43760.208333333328</v>
      </c>
      <c r="O379" s="19">
        <f t="shared" si="23"/>
        <v>43774.25</v>
      </c>
      <c r="P379" t="b">
        <v>0</v>
      </c>
      <c r="Q379" t="b">
        <v>0</v>
      </c>
      <c r="R379" t="s">
        <v>33</v>
      </c>
      <c r="S379" t="s">
        <v>2037</v>
      </c>
      <c r="T379" t="s">
        <v>2038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>
        <f t="shared" si="20"/>
        <v>14</v>
      </c>
      <c r="G380" s="4" t="s">
        <v>14</v>
      </c>
      <c r="H380">
        <v>355</v>
      </c>
      <c r="I380">
        <f t="shared" si="21"/>
        <v>70.09</v>
      </c>
      <c r="J380" t="s">
        <v>21</v>
      </c>
      <c r="K380" t="s">
        <v>22</v>
      </c>
      <c r="L380">
        <v>1526878800</v>
      </c>
      <c r="M380">
        <v>1530162000</v>
      </c>
      <c r="N380" s="19">
        <f t="shared" si="22"/>
        <v>43241.208333333328</v>
      </c>
      <c r="O380" s="19">
        <f t="shared" si="23"/>
        <v>43279.208333333328</v>
      </c>
      <c r="P380" t="b">
        <v>0</v>
      </c>
      <c r="Q380" t="b">
        <v>0</v>
      </c>
      <c r="R380" t="s">
        <v>42</v>
      </c>
      <c r="S380" t="s">
        <v>2039</v>
      </c>
      <c r="T380" t="s">
        <v>2040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>
        <f t="shared" si="20"/>
        <v>40</v>
      </c>
      <c r="G381" s="4" t="s">
        <v>14</v>
      </c>
      <c r="H381">
        <v>44</v>
      </c>
      <c r="I381">
        <f t="shared" si="21"/>
        <v>66.180000000000007</v>
      </c>
      <c r="J381" t="s">
        <v>40</v>
      </c>
      <c r="K381" t="s">
        <v>41</v>
      </c>
      <c r="L381">
        <v>1319691600</v>
      </c>
      <c r="M381">
        <v>1320904800</v>
      </c>
      <c r="N381" s="19">
        <f t="shared" si="22"/>
        <v>40843.208333333336</v>
      </c>
      <c r="O381" s="19">
        <f t="shared" si="23"/>
        <v>40857.25</v>
      </c>
      <c r="P381" t="b">
        <v>0</v>
      </c>
      <c r="Q381" t="b">
        <v>0</v>
      </c>
      <c r="R381" t="s">
        <v>33</v>
      </c>
      <c r="S381" t="s">
        <v>2037</v>
      </c>
      <c r="T381" t="s">
        <v>2038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>
        <f t="shared" si="20"/>
        <v>160</v>
      </c>
      <c r="G382" s="5" t="s">
        <v>20</v>
      </c>
      <c r="H382">
        <v>84</v>
      </c>
      <c r="I382">
        <f t="shared" si="21"/>
        <v>47.71</v>
      </c>
      <c r="J382" t="s">
        <v>21</v>
      </c>
      <c r="K382" t="s">
        <v>22</v>
      </c>
      <c r="L382">
        <v>1371963600</v>
      </c>
      <c r="M382">
        <v>1372395600</v>
      </c>
      <c r="N382" s="19">
        <f t="shared" si="22"/>
        <v>41448.208333333336</v>
      </c>
      <c r="O382" s="19">
        <f t="shared" si="23"/>
        <v>41453.208333333336</v>
      </c>
      <c r="P382" t="b">
        <v>0</v>
      </c>
      <c r="Q382" t="b">
        <v>0</v>
      </c>
      <c r="R382" t="s">
        <v>33</v>
      </c>
      <c r="S382" t="s">
        <v>2037</v>
      </c>
      <c r="T382" t="s">
        <v>2038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>
        <f t="shared" si="20"/>
        <v>184</v>
      </c>
      <c r="G383" s="5" t="s">
        <v>20</v>
      </c>
      <c r="H383">
        <v>155</v>
      </c>
      <c r="I383">
        <f t="shared" si="21"/>
        <v>62.9</v>
      </c>
      <c r="J383" t="s">
        <v>21</v>
      </c>
      <c r="K383" t="s">
        <v>22</v>
      </c>
      <c r="L383">
        <v>1433739600</v>
      </c>
      <c r="M383">
        <v>1437714000</v>
      </c>
      <c r="N383" s="19">
        <f t="shared" si="22"/>
        <v>42163.208333333328</v>
      </c>
      <c r="O383" s="19">
        <f t="shared" si="23"/>
        <v>42209.208333333328</v>
      </c>
      <c r="P383" t="b">
        <v>0</v>
      </c>
      <c r="Q383" t="b">
        <v>0</v>
      </c>
      <c r="R383" t="s">
        <v>33</v>
      </c>
      <c r="S383" t="s">
        <v>2037</v>
      </c>
      <c r="T383" t="s">
        <v>2038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>
        <f t="shared" si="20"/>
        <v>64</v>
      </c>
      <c r="G384" s="4" t="s">
        <v>14</v>
      </c>
      <c r="H384">
        <v>67</v>
      </c>
      <c r="I384">
        <f t="shared" si="21"/>
        <v>86.61</v>
      </c>
      <c r="J384" t="s">
        <v>21</v>
      </c>
      <c r="K384" t="s">
        <v>22</v>
      </c>
      <c r="L384">
        <v>1508130000</v>
      </c>
      <c r="M384">
        <v>1509771600</v>
      </c>
      <c r="N384" s="19">
        <f t="shared" si="22"/>
        <v>43024.208333333328</v>
      </c>
      <c r="O384" s="19">
        <f t="shared" si="23"/>
        <v>43043.208333333328</v>
      </c>
      <c r="P384" t="b">
        <v>0</v>
      </c>
      <c r="Q384" t="b">
        <v>0</v>
      </c>
      <c r="R384" t="s">
        <v>122</v>
      </c>
      <c r="S384" t="s">
        <v>2052</v>
      </c>
      <c r="T384" t="s">
        <v>2053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>
        <f t="shared" si="20"/>
        <v>225</v>
      </c>
      <c r="G385" s="5" t="s">
        <v>20</v>
      </c>
      <c r="H385">
        <v>189</v>
      </c>
      <c r="I385">
        <f t="shared" si="21"/>
        <v>75.13</v>
      </c>
      <c r="J385" t="s">
        <v>21</v>
      </c>
      <c r="K385" t="s">
        <v>22</v>
      </c>
      <c r="L385">
        <v>1550037600</v>
      </c>
      <c r="M385">
        <v>1550556000</v>
      </c>
      <c r="N385" s="19">
        <f t="shared" si="22"/>
        <v>43509.25</v>
      </c>
      <c r="O385" s="19">
        <f t="shared" si="23"/>
        <v>43515.25</v>
      </c>
      <c r="P385" t="b">
        <v>0</v>
      </c>
      <c r="Q385" t="b">
        <v>1</v>
      </c>
      <c r="R385" t="s">
        <v>17</v>
      </c>
      <c r="S385" t="s">
        <v>2031</v>
      </c>
      <c r="T385" t="s">
        <v>2032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>
        <f t="shared" si="20"/>
        <v>172</v>
      </c>
      <c r="G386" s="5" t="s">
        <v>20</v>
      </c>
      <c r="H386">
        <v>4799</v>
      </c>
      <c r="I386">
        <f t="shared" si="21"/>
        <v>41</v>
      </c>
      <c r="J386" t="s">
        <v>21</v>
      </c>
      <c r="K386" t="s">
        <v>22</v>
      </c>
      <c r="L386">
        <v>1486706400</v>
      </c>
      <c r="M386">
        <v>1489039200</v>
      </c>
      <c r="N386" s="19">
        <f t="shared" si="22"/>
        <v>42776.25</v>
      </c>
      <c r="O386" s="19">
        <f t="shared" si="23"/>
        <v>42803.25</v>
      </c>
      <c r="P386" t="b">
        <v>1</v>
      </c>
      <c r="Q386" t="b">
        <v>1</v>
      </c>
      <c r="R386" t="s">
        <v>42</v>
      </c>
      <c r="S386" t="s">
        <v>2039</v>
      </c>
      <c r="T386" t="s">
        <v>2040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>
        <f t="shared" ref="F387:F450" si="24">ROUND(E387/D387*100,0)</f>
        <v>146</v>
      </c>
      <c r="G387" s="5" t="s">
        <v>20</v>
      </c>
      <c r="H387">
        <v>1137</v>
      </c>
      <c r="I387">
        <f t="shared" ref="I387:I450" si="25">ROUND(E387/H387,2)</f>
        <v>50.01</v>
      </c>
      <c r="J387" t="s">
        <v>21</v>
      </c>
      <c r="K387" t="s">
        <v>22</v>
      </c>
      <c r="L387">
        <v>1553835600</v>
      </c>
      <c r="M387">
        <v>1556600400</v>
      </c>
      <c r="N387" s="19">
        <f t="shared" ref="N387:N450" si="26">(((L387/60)/60)/24)+DATE(1970,1,1)</f>
        <v>43553.208333333328</v>
      </c>
      <c r="O387" s="19">
        <f t="shared" ref="O387:O450" si="27">(((M387/60)/60)/24)+DATE(1970,1,1)</f>
        <v>43585.208333333328</v>
      </c>
      <c r="P387" t="b">
        <v>0</v>
      </c>
      <c r="Q387" t="b">
        <v>0</v>
      </c>
      <c r="R387" t="s">
        <v>68</v>
      </c>
      <c r="S387" t="s">
        <v>2045</v>
      </c>
      <c r="T387" t="s">
        <v>2046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>
        <f t="shared" si="24"/>
        <v>76</v>
      </c>
      <c r="G388" s="4" t="s">
        <v>14</v>
      </c>
      <c r="H388">
        <v>1068</v>
      </c>
      <c r="I388">
        <f t="shared" si="25"/>
        <v>96.96</v>
      </c>
      <c r="J388" t="s">
        <v>21</v>
      </c>
      <c r="K388" t="s">
        <v>22</v>
      </c>
      <c r="L388">
        <v>1277528400</v>
      </c>
      <c r="M388">
        <v>1278565200</v>
      </c>
      <c r="N388" s="19">
        <f t="shared" si="26"/>
        <v>40355.208333333336</v>
      </c>
      <c r="O388" s="19">
        <f t="shared" si="27"/>
        <v>40367.208333333336</v>
      </c>
      <c r="P388" t="b">
        <v>0</v>
      </c>
      <c r="Q388" t="b">
        <v>0</v>
      </c>
      <c r="R388" t="s">
        <v>33</v>
      </c>
      <c r="S388" t="s">
        <v>2037</v>
      </c>
      <c r="T388" t="s">
        <v>2038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>
        <f t="shared" si="24"/>
        <v>39</v>
      </c>
      <c r="G389" s="4" t="s">
        <v>14</v>
      </c>
      <c r="H389">
        <v>424</v>
      </c>
      <c r="I389">
        <f t="shared" si="25"/>
        <v>100.93</v>
      </c>
      <c r="J389" t="s">
        <v>21</v>
      </c>
      <c r="K389" t="s">
        <v>22</v>
      </c>
      <c r="L389">
        <v>1339477200</v>
      </c>
      <c r="M389">
        <v>1339909200</v>
      </c>
      <c r="N389" s="19">
        <f t="shared" si="26"/>
        <v>41072.208333333336</v>
      </c>
      <c r="O389" s="19">
        <f t="shared" si="27"/>
        <v>41077.208333333336</v>
      </c>
      <c r="P389" t="b">
        <v>0</v>
      </c>
      <c r="Q389" t="b">
        <v>0</v>
      </c>
      <c r="R389" t="s">
        <v>65</v>
      </c>
      <c r="S389" t="s">
        <v>2035</v>
      </c>
      <c r="T389" t="s">
        <v>2044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>
        <f t="shared" si="24"/>
        <v>11</v>
      </c>
      <c r="G390" s="7" t="s">
        <v>74</v>
      </c>
      <c r="H390">
        <v>145</v>
      </c>
      <c r="I390">
        <f t="shared" si="25"/>
        <v>89.23</v>
      </c>
      <c r="J390" t="s">
        <v>98</v>
      </c>
      <c r="K390" t="s">
        <v>99</v>
      </c>
      <c r="L390">
        <v>1325656800</v>
      </c>
      <c r="M390">
        <v>1325829600</v>
      </c>
      <c r="N390" s="19">
        <f t="shared" si="26"/>
        <v>40912.25</v>
      </c>
      <c r="O390" s="19">
        <f t="shared" si="27"/>
        <v>40914.25</v>
      </c>
      <c r="P390" t="b">
        <v>0</v>
      </c>
      <c r="Q390" t="b">
        <v>0</v>
      </c>
      <c r="R390" t="s">
        <v>60</v>
      </c>
      <c r="S390" t="s">
        <v>2033</v>
      </c>
      <c r="T390" t="s">
        <v>2043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>
        <f t="shared" si="24"/>
        <v>122</v>
      </c>
      <c r="G391" s="5" t="s">
        <v>20</v>
      </c>
      <c r="H391">
        <v>1152</v>
      </c>
      <c r="I391">
        <f t="shared" si="25"/>
        <v>87.98</v>
      </c>
      <c r="J391" t="s">
        <v>21</v>
      </c>
      <c r="K391" t="s">
        <v>22</v>
      </c>
      <c r="L391">
        <v>1288242000</v>
      </c>
      <c r="M391">
        <v>1290578400</v>
      </c>
      <c r="N391" s="19">
        <f t="shared" si="26"/>
        <v>40479.208333333336</v>
      </c>
      <c r="O391" s="19">
        <f t="shared" si="27"/>
        <v>40506.25</v>
      </c>
      <c r="P391" t="b">
        <v>0</v>
      </c>
      <c r="Q391" t="b">
        <v>0</v>
      </c>
      <c r="R391" t="s">
        <v>33</v>
      </c>
      <c r="S391" t="s">
        <v>2037</v>
      </c>
      <c r="T391" t="s">
        <v>2038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>
        <f t="shared" si="24"/>
        <v>187</v>
      </c>
      <c r="G392" s="5" t="s">
        <v>20</v>
      </c>
      <c r="H392">
        <v>50</v>
      </c>
      <c r="I392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s="19">
        <f t="shared" si="26"/>
        <v>41530.208333333336</v>
      </c>
      <c r="O392" s="19">
        <f t="shared" si="27"/>
        <v>41545.208333333336</v>
      </c>
      <c r="P392" t="b">
        <v>0</v>
      </c>
      <c r="Q392" t="b">
        <v>0</v>
      </c>
      <c r="R392" t="s">
        <v>122</v>
      </c>
      <c r="S392" t="s">
        <v>2052</v>
      </c>
      <c r="T392" t="s">
        <v>2053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>
        <f t="shared" si="24"/>
        <v>7</v>
      </c>
      <c r="G393" s="4" t="s">
        <v>14</v>
      </c>
      <c r="H393">
        <v>151</v>
      </c>
      <c r="I393">
        <f t="shared" si="25"/>
        <v>29.09</v>
      </c>
      <c r="J393" t="s">
        <v>21</v>
      </c>
      <c r="K393" t="s">
        <v>22</v>
      </c>
      <c r="L393">
        <v>1389679200</v>
      </c>
      <c r="M393">
        <v>1389852000</v>
      </c>
      <c r="N393" s="19">
        <f t="shared" si="26"/>
        <v>41653.25</v>
      </c>
      <c r="O393" s="19">
        <f t="shared" si="27"/>
        <v>41655.25</v>
      </c>
      <c r="P393" t="b">
        <v>0</v>
      </c>
      <c r="Q393" t="b">
        <v>0</v>
      </c>
      <c r="R393" t="s">
        <v>68</v>
      </c>
      <c r="S393" t="s">
        <v>2045</v>
      </c>
      <c r="T393" t="s">
        <v>2046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>
        <f t="shared" si="24"/>
        <v>66</v>
      </c>
      <c r="G394" s="4" t="s">
        <v>14</v>
      </c>
      <c r="H394">
        <v>1608</v>
      </c>
      <c r="I394">
        <f t="shared" si="25"/>
        <v>42.01</v>
      </c>
      <c r="J394" t="s">
        <v>21</v>
      </c>
      <c r="K394" t="s">
        <v>22</v>
      </c>
      <c r="L394">
        <v>1294293600</v>
      </c>
      <c r="M394">
        <v>1294466400</v>
      </c>
      <c r="N394" s="19">
        <f t="shared" si="26"/>
        <v>40549.25</v>
      </c>
      <c r="O394" s="19">
        <f t="shared" si="27"/>
        <v>40551.25</v>
      </c>
      <c r="P394" t="b">
        <v>0</v>
      </c>
      <c r="Q394" t="b">
        <v>0</v>
      </c>
      <c r="R394" t="s">
        <v>65</v>
      </c>
      <c r="S394" t="s">
        <v>2035</v>
      </c>
      <c r="T394" t="s">
        <v>2044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>
        <f t="shared" si="24"/>
        <v>229</v>
      </c>
      <c r="G395" s="5" t="s">
        <v>20</v>
      </c>
      <c r="H395">
        <v>3059</v>
      </c>
      <c r="I395">
        <f t="shared" si="25"/>
        <v>47</v>
      </c>
      <c r="J395" t="s">
        <v>15</v>
      </c>
      <c r="K395" t="s">
        <v>16</v>
      </c>
      <c r="L395">
        <v>1500267600</v>
      </c>
      <c r="M395">
        <v>1500354000</v>
      </c>
      <c r="N395" s="19">
        <f t="shared" si="26"/>
        <v>42933.208333333328</v>
      </c>
      <c r="O395" s="19">
        <f t="shared" si="27"/>
        <v>42934.208333333328</v>
      </c>
      <c r="P395" t="b">
        <v>0</v>
      </c>
      <c r="Q395" t="b">
        <v>0</v>
      </c>
      <c r="R395" t="s">
        <v>159</v>
      </c>
      <c r="S395" t="s">
        <v>2033</v>
      </c>
      <c r="T395" t="s">
        <v>2056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>
        <f t="shared" si="24"/>
        <v>469</v>
      </c>
      <c r="G396" s="5" t="s">
        <v>20</v>
      </c>
      <c r="H396">
        <v>34</v>
      </c>
      <c r="I396">
        <f t="shared" si="25"/>
        <v>110.44</v>
      </c>
      <c r="J396" t="s">
        <v>21</v>
      </c>
      <c r="K396" t="s">
        <v>22</v>
      </c>
      <c r="L396">
        <v>1375074000</v>
      </c>
      <c r="M396">
        <v>1375938000</v>
      </c>
      <c r="N396" s="19">
        <f t="shared" si="26"/>
        <v>41484.208333333336</v>
      </c>
      <c r="O396" s="19">
        <f t="shared" si="27"/>
        <v>41494.208333333336</v>
      </c>
      <c r="P396" t="b">
        <v>0</v>
      </c>
      <c r="Q396" t="b">
        <v>1</v>
      </c>
      <c r="R396" t="s">
        <v>42</v>
      </c>
      <c r="S396" t="s">
        <v>2039</v>
      </c>
      <c r="T396" t="s">
        <v>2040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>
        <f t="shared" si="24"/>
        <v>130</v>
      </c>
      <c r="G397" s="5" t="s">
        <v>20</v>
      </c>
      <c r="H397">
        <v>220</v>
      </c>
      <c r="I397">
        <f t="shared" si="25"/>
        <v>41.99</v>
      </c>
      <c r="J397" t="s">
        <v>21</v>
      </c>
      <c r="K397" t="s">
        <v>22</v>
      </c>
      <c r="L397">
        <v>1323324000</v>
      </c>
      <c r="M397">
        <v>1323410400</v>
      </c>
      <c r="N397" s="19">
        <f t="shared" si="26"/>
        <v>40885.25</v>
      </c>
      <c r="O397" s="19">
        <f t="shared" si="27"/>
        <v>40886.25</v>
      </c>
      <c r="P397" t="b">
        <v>1</v>
      </c>
      <c r="Q397" t="b">
        <v>0</v>
      </c>
      <c r="R397" t="s">
        <v>33</v>
      </c>
      <c r="S397" t="s">
        <v>2037</v>
      </c>
      <c r="T397" t="s">
        <v>2038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>
        <f t="shared" si="24"/>
        <v>167</v>
      </c>
      <c r="G398" s="5" t="s">
        <v>20</v>
      </c>
      <c r="H398">
        <v>1604</v>
      </c>
      <c r="I398">
        <f t="shared" si="25"/>
        <v>48.01</v>
      </c>
      <c r="J398" t="s">
        <v>26</v>
      </c>
      <c r="K398" t="s">
        <v>27</v>
      </c>
      <c r="L398">
        <v>1538715600</v>
      </c>
      <c r="M398">
        <v>1539406800</v>
      </c>
      <c r="N398" s="19">
        <f t="shared" si="26"/>
        <v>43378.208333333328</v>
      </c>
      <c r="O398" s="19">
        <f t="shared" si="27"/>
        <v>43386.208333333328</v>
      </c>
      <c r="P398" t="b">
        <v>0</v>
      </c>
      <c r="Q398" t="b">
        <v>0</v>
      </c>
      <c r="R398" t="s">
        <v>53</v>
      </c>
      <c r="S398" t="s">
        <v>2039</v>
      </c>
      <c r="T398" t="s">
        <v>2042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>
        <f t="shared" si="24"/>
        <v>174</v>
      </c>
      <c r="G399" s="5" t="s">
        <v>20</v>
      </c>
      <c r="H399">
        <v>454</v>
      </c>
      <c r="I399">
        <f t="shared" si="25"/>
        <v>31.02</v>
      </c>
      <c r="J399" t="s">
        <v>21</v>
      </c>
      <c r="K399" t="s">
        <v>22</v>
      </c>
      <c r="L399">
        <v>1369285200</v>
      </c>
      <c r="M399">
        <v>1369803600</v>
      </c>
      <c r="N399" s="19">
        <f t="shared" si="26"/>
        <v>41417.208333333336</v>
      </c>
      <c r="O399" s="19">
        <f t="shared" si="27"/>
        <v>41423.208333333336</v>
      </c>
      <c r="P399" t="b">
        <v>0</v>
      </c>
      <c r="Q399" t="b">
        <v>0</v>
      </c>
      <c r="R399" t="s">
        <v>23</v>
      </c>
      <c r="S399" t="s">
        <v>2033</v>
      </c>
      <c r="T399" t="s">
        <v>2034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>
        <f t="shared" si="24"/>
        <v>718</v>
      </c>
      <c r="G400" s="5" t="s">
        <v>20</v>
      </c>
      <c r="H400">
        <v>123</v>
      </c>
      <c r="I400">
        <f t="shared" si="25"/>
        <v>99.2</v>
      </c>
      <c r="J400" t="s">
        <v>107</v>
      </c>
      <c r="K400" t="s">
        <v>108</v>
      </c>
      <c r="L400">
        <v>1525755600</v>
      </c>
      <c r="M400">
        <v>1525928400</v>
      </c>
      <c r="N400" s="19">
        <f t="shared" si="26"/>
        <v>43228.208333333328</v>
      </c>
      <c r="O400" s="19">
        <f t="shared" si="27"/>
        <v>43230.208333333328</v>
      </c>
      <c r="P400" t="b">
        <v>0</v>
      </c>
      <c r="Q400" t="b">
        <v>1</v>
      </c>
      <c r="R400" t="s">
        <v>71</v>
      </c>
      <c r="S400" t="s">
        <v>2039</v>
      </c>
      <c r="T400" t="s">
        <v>2047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>
        <f t="shared" si="24"/>
        <v>64</v>
      </c>
      <c r="G401" s="4" t="s">
        <v>14</v>
      </c>
      <c r="H401">
        <v>941</v>
      </c>
      <c r="I401">
        <f t="shared" si="25"/>
        <v>66.02</v>
      </c>
      <c r="J401" t="s">
        <v>21</v>
      </c>
      <c r="K401" t="s">
        <v>22</v>
      </c>
      <c r="L401">
        <v>1296626400</v>
      </c>
      <c r="M401">
        <v>1297231200</v>
      </c>
      <c r="N401" s="19">
        <f t="shared" si="26"/>
        <v>40576.25</v>
      </c>
      <c r="O401" s="19">
        <f t="shared" si="27"/>
        <v>40583.25</v>
      </c>
      <c r="P401" t="b">
        <v>0</v>
      </c>
      <c r="Q401" t="b">
        <v>0</v>
      </c>
      <c r="R401" t="s">
        <v>60</v>
      </c>
      <c r="S401" t="s">
        <v>2033</v>
      </c>
      <c r="T401" t="s">
        <v>2043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>
        <f t="shared" si="24"/>
        <v>2</v>
      </c>
      <c r="G402" s="4" t="s">
        <v>14</v>
      </c>
      <c r="H402">
        <v>1</v>
      </c>
      <c r="I402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s="19">
        <f t="shared" si="26"/>
        <v>41502.208333333336</v>
      </c>
      <c r="O402" s="19">
        <f t="shared" si="27"/>
        <v>41524.208333333336</v>
      </c>
      <c r="P402" t="b">
        <v>0</v>
      </c>
      <c r="Q402" t="b">
        <v>1</v>
      </c>
      <c r="R402" t="s">
        <v>122</v>
      </c>
      <c r="S402" t="s">
        <v>2052</v>
      </c>
      <c r="T402" t="s">
        <v>2053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>
        <f t="shared" si="24"/>
        <v>1530</v>
      </c>
      <c r="G403" s="5" t="s">
        <v>20</v>
      </c>
      <c r="H403">
        <v>299</v>
      </c>
      <c r="I403">
        <f t="shared" si="25"/>
        <v>46.06</v>
      </c>
      <c r="J403" t="s">
        <v>21</v>
      </c>
      <c r="K403" t="s">
        <v>22</v>
      </c>
      <c r="L403">
        <v>1572152400</v>
      </c>
      <c r="M403">
        <v>1572152400</v>
      </c>
      <c r="N403" s="19">
        <f t="shared" si="26"/>
        <v>43765.208333333328</v>
      </c>
      <c r="O403" s="19">
        <f t="shared" si="27"/>
        <v>43765.208333333328</v>
      </c>
      <c r="P403" t="b">
        <v>0</v>
      </c>
      <c r="Q403" t="b">
        <v>0</v>
      </c>
      <c r="R403" t="s">
        <v>33</v>
      </c>
      <c r="S403" t="s">
        <v>2037</v>
      </c>
      <c r="T403" t="s">
        <v>2038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>
        <f t="shared" si="24"/>
        <v>40</v>
      </c>
      <c r="G404" s="4" t="s">
        <v>14</v>
      </c>
      <c r="H404">
        <v>40</v>
      </c>
      <c r="I404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9">
        <f t="shared" si="26"/>
        <v>40914.25</v>
      </c>
      <c r="O404" s="19">
        <f t="shared" si="27"/>
        <v>40961.25</v>
      </c>
      <c r="P404" t="b">
        <v>0</v>
      </c>
      <c r="Q404" t="b">
        <v>1</v>
      </c>
      <c r="R404" t="s">
        <v>100</v>
      </c>
      <c r="S404" t="s">
        <v>2039</v>
      </c>
      <c r="T404" t="s">
        <v>2050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>
        <f t="shared" si="24"/>
        <v>86</v>
      </c>
      <c r="G405" s="4" t="s">
        <v>14</v>
      </c>
      <c r="H405">
        <v>3015</v>
      </c>
      <c r="I405">
        <f t="shared" si="25"/>
        <v>55.99</v>
      </c>
      <c r="J405" t="s">
        <v>15</v>
      </c>
      <c r="K405" t="s">
        <v>16</v>
      </c>
      <c r="L405">
        <v>1273640400</v>
      </c>
      <c r="M405">
        <v>1276750800</v>
      </c>
      <c r="N405" s="19">
        <f t="shared" si="26"/>
        <v>40310.208333333336</v>
      </c>
      <c r="O405" s="19">
        <f t="shared" si="27"/>
        <v>40346.208333333336</v>
      </c>
      <c r="P405" t="b">
        <v>0</v>
      </c>
      <c r="Q405" t="b">
        <v>1</v>
      </c>
      <c r="R405" t="s">
        <v>33</v>
      </c>
      <c r="S405" t="s">
        <v>2037</v>
      </c>
      <c r="T405" t="s">
        <v>2038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>
        <f t="shared" si="24"/>
        <v>316</v>
      </c>
      <c r="G406" s="5" t="s">
        <v>20</v>
      </c>
      <c r="H406">
        <v>2237</v>
      </c>
      <c r="I406">
        <f t="shared" si="25"/>
        <v>68.989999999999995</v>
      </c>
      <c r="J406" t="s">
        <v>21</v>
      </c>
      <c r="K406" t="s">
        <v>22</v>
      </c>
      <c r="L406">
        <v>1510639200</v>
      </c>
      <c r="M406">
        <v>1510898400</v>
      </c>
      <c r="N406" s="19">
        <f t="shared" si="26"/>
        <v>43053.25</v>
      </c>
      <c r="O406" s="19">
        <f t="shared" si="27"/>
        <v>43056.25</v>
      </c>
      <c r="P406" t="b">
        <v>0</v>
      </c>
      <c r="Q406" t="b">
        <v>0</v>
      </c>
      <c r="R406" t="s">
        <v>33</v>
      </c>
      <c r="S406" t="s">
        <v>2037</v>
      </c>
      <c r="T406" t="s">
        <v>2038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>
        <f t="shared" si="24"/>
        <v>90</v>
      </c>
      <c r="G407" s="4" t="s">
        <v>14</v>
      </c>
      <c r="H407">
        <v>435</v>
      </c>
      <c r="I407">
        <f t="shared" si="25"/>
        <v>60.98</v>
      </c>
      <c r="J407" t="s">
        <v>21</v>
      </c>
      <c r="K407" t="s">
        <v>22</v>
      </c>
      <c r="L407">
        <v>1528088400</v>
      </c>
      <c r="M407">
        <v>1532408400</v>
      </c>
      <c r="N407" s="19">
        <f t="shared" si="26"/>
        <v>43255.208333333328</v>
      </c>
      <c r="O407" s="19">
        <f t="shared" si="27"/>
        <v>43305.208333333328</v>
      </c>
      <c r="P407" t="b">
        <v>0</v>
      </c>
      <c r="Q407" t="b">
        <v>0</v>
      </c>
      <c r="R407" t="s">
        <v>33</v>
      </c>
      <c r="S407" t="s">
        <v>2037</v>
      </c>
      <c r="T407" t="s">
        <v>2038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>
        <f t="shared" si="24"/>
        <v>182</v>
      </c>
      <c r="G408" s="5" t="s">
        <v>20</v>
      </c>
      <c r="H408">
        <v>645</v>
      </c>
      <c r="I408">
        <f t="shared" si="25"/>
        <v>110.98</v>
      </c>
      <c r="J408" t="s">
        <v>21</v>
      </c>
      <c r="K408" t="s">
        <v>22</v>
      </c>
      <c r="L408">
        <v>1359525600</v>
      </c>
      <c r="M408">
        <v>1360562400</v>
      </c>
      <c r="N408" s="19">
        <f t="shared" si="26"/>
        <v>41304.25</v>
      </c>
      <c r="O408" s="19">
        <f t="shared" si="27"/>
        <v>41316.25</v>
      </c>
      <c r="P408" t="b">
        <v>1</v>
      </c>
      <c r="Q408" t="b">
        <v>0</v>
      </c>
      <c r="R408" t="s">
        <v>42</v>
      </c>
      <c r="S408" t="s">
        <v>2039</v>
      </c>
      <c r="T408" t="s">
        <v>2040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>
        <f t="shared" si="24"/>
        <v>356</v>
      </c>
      <c r="G409" s="5" t="s">
        <v>20</v>
      </c>
      <c r="H409">
        <v>484</v>
      </c>
      <c r="I409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s="19">
        <f t="shared" si="26"/>
        <v>43751.208333333328</v>
      </c>
      <c r="O409" s="19">
        <f t="shared" si="27"/>
        <v>43758.208333333328</v>
      </c>
      <c r="P409" t="b">
        <v>0</v>
      </c>
      <c r="Q409" t="b">
        <v>0</v>
      </c>
      <c r="R409" t="s">
        <v>33</v>
      </c>
      <c r="S409" t="s">
        <v>2037</v>
      </c>
      <c r="T409" t="s">
        <v>2038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>
        <f t="shared" si="24"/>
        <v>132</v>
      </c>
      <c r="G410" s="5" t="s">
        <v>20</v>
      </c>
      <c r="H410">
        <v>154</v>
      </c>
      <c r="I410">
        <f t="shared" si="25"/>
        <v>78.760000000000005</v>
      </c>
      <c r="J410" t="s">
        <v>15</v>
      </c>
      <c r="K410" t="s">
        <v>16</v>
      </c>
      <c r="L410">
        <v>1466398800</v>
      </c>
      <c r="M410">
        <v>1468126800</v>
      </c>
      <c r="N410" s="19">
        <f t="shared" si="26"/>
        <v>42541.208333333328</v>
      </c>
      <c r="O410" s="19">
        <f t="shared" si="27"/>
        <v>42561.208333333328</v>
      </c>
      <c r="P410" t="b">
        <v>0</v>
      </c>
      <c r="Q410" t="b">
        <v>0</v>
      </c>
      <c r="R410" t="s">
        <v>42</v>
      </c>
      <c r="S410" t="s">
        <v>2039</v>
      </c>
      <c r="T410" t="s">
        <v>2040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>
        <f t="shared" si="24"/>
        <v>46</v>
      </c>
      <c r="G411" s="4" t="s">
        <v>14</v>
      </c>
      <c r="H411">
        <v>714</v>
      </c>
      <c r="I411">
        <f t="shared" si="25"/>
        <v>87.96</v>
      </c>
      <c r="J411" t="s">
        <v>21</v>
      </c>
      <c r="K411" t="s">
        <v>22</v>
      </c>
      <c r="L411">
        <v>1492491600</v>
      </c>
      <c r="M411">
        <v>1492837200</v>
      </c>
      <c r="N411" s="19">
        <f t="shared" si="26"/>
        <v>42843.208333333328</v>
      </c>
      <c r="O411" s="19">
        <f t="shared" si="27"/>
        <v>42847.208333333328</v>
      </c>
      <c r="P411" t="b">
        <v>0</v>
      </c>
      <c r="Q411" t="b">
        <v>0</v>
      </c>
      <c r="R411" t="s">
        <v>23</v>
      </c>
      <c r="S411" t="s">
        <v>2033</v>
      </c>
      <c r="T411" t="s">
        <v>2034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>
        <f t="shared" si="24"/>
        <v>36</v>
      </c>
      <c r="G412" s="6" t="s">
        <v>47</v>
      </c>
      <c r="H412">
        <v>1111</v>
      </c>
      <c r="I412">
        <f t="shared" si="25"/>
        <v>49.99</v>
      </c>
      <c r="J412" t="s">
        <v>21</v>
      </c>
      <c r="K412" t="s">
        <v>22</v>
      </c>
      <c r="L412">
        <v>1430197200</v>
      </c>
      <c r="M412">
        <v>1430197200</v>
      </c>
      <c r="N412" s="19">
        <f t="shared" si="26"/>
        <v>42122.208333333328</v>
      </c>
      <c r="O412" s="19">
        <f t="shared" si="27"/>
        <v>42122.208333333328</v>
      </c>
      <c r="P412" t="b">
        <v>0</v>
      </c>
      <c r="Q412" t="b">
        <v>0</v>
      </c>
      <c r="R412" t="s">
        <v>292</v>
      </c>
      <c r="S412" t="s">
        <v>2048</v>
      </c>
      <c r="T412" t="s">
        <v>2059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>
        <f t="shared" si="24"/>
        <v>105</v>
      </c>
      <c r="G413" s="5" t="s">
        <v>20</v>
      </c>
      <c r="H413">
        <v>82</v>
      </c>
      <c r="I413">
        <f t="shared" si="25"/>
        <v>99.52</v>
      </c>
      <c r="J413" t="s">
        <v>21</v>
      </c>
      <c r="K413" t="s">
        <v>22</v>
      </c>
      <c r="L413">
        <v>1496034000</v>
      </c>
      <c r="M413">
        <v>1496206800</v>
      </c>
      <c r="N413" s="19">
        <f t="shared" si="26"/>
        <v>42884.208333333328</v>
      </c>
      <c r="O413" s="19">
        <f t="shared" si="27"/>
        <v>42886.208333333328</v>
      </c>
      <c r="P413" t="b">
        <v>0</v>
      </c>
      <c r="Q413" t="b">
        <v>0</v>
      </c>
      <c r="R413" t="s">
        <v>33</v>
      </c>
      <c r="S413" t="s">
        <v>2037</v>
      </c>
      <c r="T413" t="s">
        <v>2038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>
        <f t="shared" si="24"/>
        <v>669</v>
      </c>
      <c r="G414" s="5" t="s">
        <v>20</v>
      </c>
      <c r="H414">
        <v>134</v>
      </c>
      <c r="I414">
        <f t="shared" si="25"/>
        <v>104.82</v>
      </c>
      <c r="J414" t="s">
        <v>21</v>
      </c>
      <c r="K414" t="s">
        <v>22</v>
      </c>
      <c r="L414">
        <v>1388728800</v>
      </c>
      <c r="M414">
        <v>1389592800</v>
      </c>
      <c r="N414" s="19">
        <f t="shared" si="26"/>
        <v>41642.25</v>
      </c>
      <c r="O414" s="19">
        <f t="shared" si="27"/>
        <v>41652.25</v>
      </c>
      <c r="P414" t="b">
        <v>0</v>
      </c>
      <c r="Q414" t="b">
        <v>0</v>
      </c>
      <c r="R414" t="s">
        <v>119</v>
      </c>
      <c r="S414" t="s">
        <v>2045</v>
      </c>
      <c r="T414" t="s">
        <v>2051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>
        <f t="shared" si="24"/>
        <v>62</v>
      </c>
      <c r="G415" s="6" t="s">
        <v>47</v>
      </c>
      <c r="H415">
        <v>1089</v>
      </c>
      <c r="I415">
        <f t="shared" si="25"/>
        <v>108.01</v>
      </c>
      <c r="J415" t="s">
        <v>21</v>
      </c>
      <c r="K415" t="s">
        <v>22</v>
      </c>
      <c r="L415">
        <v>1543298400</v>
      </c>
      <c r="M415">
        <v>1545631200</v>
      </c>
      <c r="N415" s="19">
        <f t="shared" si="26"/>
        <v>43431.25</v>
      </c>
      <c r="O415" s="19">
        <f t="shared" si="27"/>
        <v>43458.25</v>
      </c>
      <c r="P415" t="b">
        <v>0</v>
      </c>
      <c r="Q415" t="b">
        <v>0</v>
      </c>
      <c r="R415" t="s">
        <v>71</v>
      </c>
      <c r="S415" t="s">
        <v>2039</v>
      </c>
      <c r="T415" t="s">
        <v>2047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>
        <f t="shared" si="24"/>
        <v>85</v>
      </c>
      <c r="G416" s="4" t="s">
        <v>14</v>
      </c>
      <c r="H416">
        <v>5497</v>
      </c>
      <c r="I416">
        <f t="shared" si="25"/>
        <v>29</v>
      </c>
      <c r="J416" t="s">
        <v>21</v>
      </c>
      <c r="K416" t="s">
        <v>22</v>
      </c>
      <c r="L416">
        <v>1271739600</v>
      </c>
      <c r="M416">
        <v>1272430800</v>
      </c>
      <c r="N416" s="19">
        <f t="shared" si="26"/>
        <v>40288.208333333336</v>
      </c>
      <c r="O416" s="19">
        <f t="shared" si="27"/>
        <v>40296.208333333336</v>
      </c>
      <c r="P416" t="b">
        <v>0</v>
      </c>
      <c r="Q416" t="b">
        <v>1</v>
      </c>
      <c r="R416" t="s">
        <v>17</v>
      </c>
      <c r="S416" t="s">
        <v>2031</v>
      </c>
      <c r="T416" t="s">
        <v>2032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>
        <f t="shared" si="24"/>
        <v>11</v>
      </c>
      <c r="G417" s="4" t="s">
        <v>14</v>
      </c>
      <c r="H417">
        <v>418</v>
      </c>
      <c r="I417">
        <f t="shared" si="25"/>
        <v>30.03</v>
      </c>
      <c r="J417" t="s">
        <v>21</v>
      </c>
      <c r="K417" t="s">
        <v>22</v>
      </c>
      <c r="L417">
        <v>1326434400</v>
      </c>
      <c r="M417">
        <v>1327903200</v>
      </c>
      <c r="N417" s="19">
        <f t="shared" si="26"/>
        <v>40921.25</v>
      </c>
      <c r="O417" s="19">
        <f t="shared" si="27"/>
        <v>40938.25</v>
      </c>
      <c r="P417" t="b">
        <v>0</v>
      </c>
      <c r="Q417" t="b">
        <v>0</v>
      </c>
      <c r="R417" t="s">
        <v>33</v>
      </c>
      <c r="S417" t="s">
        <v>2037</v>
      </c>
      <c r="T417" t="s">
        <v>2038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>
        <f t="shared" si="24"/>
        <v>44</v>
      </c>
      <c r="G418" s="4" t="s">
        <v>14</v>
      </c>
      <c r="H418">
        <v>1439</v>
      </c>
      <c r="I418">
        <f t="shared" si="25"/>
        <v>41.01</v>
      </c>
      <c r="J418" t="s">
        <v>21</v>
      </c>
      <c r="K418" t="s">
        <v>22</v>
      </c>
      <c r="L418">
        <v>1295244000</v>
      </c>
      <c r="M418">
        <v>1296021600</v>
      </c>
      <c r="N418" s="19">
        <f t="shared" si="26"/>
        <v>40560.25</v>
      </c>
      <c r="O418" s="19">
        <f t="shared" si="27"/>
        <v>40569.25</v>
      </c>
      <c r="P418" t="b">
        <v>0</v>
      </c>
      <c r="Q418" t="b">
        <v>1</v>
      </c>
      <c r="R418" t="s">
        <v>42</v>
      </c>
      <c r="S418" t="s">
        <v>2039</v>
      </c>
      <c r="T418" t="s">
        <v>2040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>
        <f t="shared" si="24"/>
        <v>55</v>
      </c>
      <c r="G419" s="4" t="s">
        <v>14</v>
      </c>
      <c r="H419">
        <v>15</v>
      </c>
      <c r="I419">
        <f t="shared" si="25"/>
        <v>62.87</v>
      </c>
      <c r="J419" t="s">
        <v>21</v>
      </c>
      <c r="K419" t="s">
        <v>22</v>
      </c>
      <c r="L419">
        <v>1541221200</v>
      </c>
      <c r="M419">
        <v>1543298400</v>
      </c>
      <c r="N419" s="19">
        <f t="shared" si="26"/>
        <v>43407.208333333328</v>
      </c>
      <c r="O419" s="19">
        <f t="shared" si="27"/>
        <v>43431.25</v>
      </c>
      <c r="P419" t="b">
        <v>0</v>
      </c>
      <c r="Q419" t="b">
        <v>0</v>
      </c>
      <c r="R419" t="s">
        <v>33</v>
      </c>
      <c r="S419" t="s">
        <v>2037</v>
      </c>
      <c r="T419" t="s">
        <v>2038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>
        <f t="shared" si="24"/>
        <v>57</v>
      </c>
      <c r="G420" s="4" t="s">
        <v>14</v>
      </c>
      <c r="H420">
        <v>1999</v>
      </c>
      <c r="I420">
        <f t="shared" si="25"/>
        <v>47.01</v>
      </c>
      <c r="J420" t="s">
        <v>15</v>
      </c>
      <c r="K420" t="s">
        <v>16</v>
      </c>
      <c r="L420">
        <v>1336280400</v>
      </c>
      <c r="M420">
        <v>1336366800</v>
      </c>
      <c r="N420" s="19">
        <f t="shared" si="26"/>
        <v>41035.208333333336</v>
      </c>
      <c r="O420" s="19">
        <f t="shared" si="27"/>
        <v>41036.208333333336</v>
      </c>
      <c r="P420" t="b">
        <v>0</v>
      </c>
      <c r="Q420" t="b">
        <v>0</v>
      </c>
      <c r="R420" t="s">
        <v>42</v>
      </c>
      <c r="S420" t="s">
        <v>2039</v>
      </c>
      <c r="T420" t="s">
        <v>2040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>
        <f t="shared" si="24"/>
        <v>123</v>
      </c>
      <c r="G421" s="5" t="s">
        <v>20</v>
      </c>
      <c r="H421">
        <v>5203</v>
      </c>
      <c r="I421">
        <f t="shared" si="25"/>
        <v>27</v>
      </c>
      <c r="J421" t="s">
        <v>21</v>
      </c>
      <c r="K421" t="s">
        <v>22</v>
      </c>
      <c r="L421">
        <v>1324533600</v>
      </c>
      <c r="M421">
        <v>1325052000</v>
      </c>
      <c r="N421" s="19">
        <f t="shared" si="26"/>
        <v>40899.25</v>
      </c>
      <c r="O421" s="19">
        <f t="shared" si="27"/>
        <v>40905.25</v>
      </c>
      <c r="P421" t="b">
        <v>0</v>
      </c>
      <c r="Q421" t="b">
        <v>0</v>
      </c>
      <c r="R421" t="s">
        <v>28</v>
      </c>
      <c r="S421" t="s">
        <v>2035</v>
      </c>
      <c r="T421" t="s">
        <v>2036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>
        <f t="shared" si="24"/>
        <v>128</v>
      </c>
      <c r="G422" s="5" t="s">
        <v>20</v>
      </c>
      <c r="H422">
        <v>94</v>
      </c>
      <c r="I422">
        <f t="shared" si="25"/>
        <v>68.33</v>
      </c>
      <c r="J422" t="s">
        <v>21</v>
      </c>
      <c r="K422" t="s">
        <v>22</v>
      </c>
      <c r="L422">
        <v>1498366800</v>
      </c>
      <c r="M422">
        <v>1499576400</v>
      </c>
      <c r="N422" s="19">
        <f t="shared" si="26"/>
        <v>42911.208333333328</v>
      </c>
      <c r="O422" s="19">
        <f t="shared" si="27"/>
        <v>42925.208333333328</v>
      </c>
      <c r="P422" t="b">
        <v>0</v>
      </c>
      <c r="Q422" t="b">
        <v>0</v>
      </c>
      <c r="R422" t="s">
        <v>33</v>
      </c>
      <c r="S422" t="s">
        <v>2037</v>
      </c>
      <c r="T422" t="s">
        <v>2038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>
        <f t="shared" si="24"/>
        <v>64</v>
      </c>
      <c r="G423" s="4" t="s">
        <v>14</v>
      </c>
      <c r="H423">
        <v>118</v>
      </c>
      <c r="I423">
        <f t="shared" si="25"/>
        <v>50.97</v>
      </c>
      <c r="J423" t="s">
        <v>21</v>
      </c>
      <c r="K423" t="s">
        <v>22</v>
      </c>
      <c r="L423">
        <v>1498712400</v>
      </c>
      <c r="M423">
        <v>1501304400</v>
      </c>
      <c r="N423" s="19">
        <f t="shared" si="26"/>
        <v>42915.208333333328</v>
      </c>
      <c r="O423" s="19">
        <f t="shared" si="27"/>
        <v>42945.208333333328</v>
      </c>
      <c r="P423" t="b">
        <v>0</v>
      </c>
      <c r="Q423" t="b">
        <v>1</v>
      </c>
      <c r="R423" t="s">
        <v>65</v>
      </c>
      <c r="S423" t="s">
        <v>2035</v>
      </c>
      <c r="T423" t="s">
        <v>2044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>
        <f t="shared" si="24"/>
        <v>127</v>
      </c>
      <c r="G424" s="5" t="s">
        <v>20</v>
      </c>
      <c r="H424">
        <v>205</v>
      </c>
      <c r="I424">
        <f t="shared" si="25"/>
        <v>54.02</v>
      </c>
      <c r="J424" t="s">
        <v>21</v>
      </c>
      <c r="K424" t="s">
        <v>22</v>
      </c>
      <c r="L424">
        <v>1271480400</v>
      </c>
      <c r="M424">
        <v>1273208400</v>
      </c>
      <c r="N424" s="19">
        <f t="shared" si="26"/>
        <v>40285.208333333336</v>
      </c>
      <c r="O424" s="19">
        <f t="shared" si="27"/>
        <v>40305.208333333336</v>
      </c>
      <c r="P424" t="b">
        <v>0</v>
      </c>
      <c r="Q424" t="b">
        <v>1</v>
      </c>
      <c r="R424" t="s">
        <v>33</v>
      </c>
      <c r="S424" t="s">
        <v>2037</v>
      </c>
      <c r="T424" t="s">
        <v>2038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>
        <f t="shared" si="24"/>
        <v>11</v>
      </c>
      <c r="G425" s="4" t="s">
        <v>14</v>
      </c>
      <c r="H425">
        <v>162</v>
      </c>
      <c r="I425">
        <f t="shared" si="25"/>
        <v>97.06</v>
      </c>
      <c r="J425" t="s">
        <v>21</v>
      </c>
      <c r="K425" t="s">
        <v>22</v>
      </c>
      <c r="L425">
        <v>1316667600</v>
      </c>
      <c r="M425">
        <v>1316840400</v>
      </c>
      <c r="N425" s="19">
        <f t="shared" si="26"/>
        <v>40808.208333333336</v>
      </c>
      <c r="O425" s="19">
        <f t="shared" si="27"/>
        <v>40810.208333333336</v>
      </c>
      <c r="P425" t="b">
        <v>0</v>
      </c>
      <c r="Q425" t="b">
        <v>1</v>
      </c>
      <c r="R425" t="s">
        <v>17</v>
      </c>
      <c r="S425" t="s">
        <v>2031</v>
      </c>
      <c r="T425" t="s">
        <v>2032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>
        <f t="shared" si="24"/>
        <v>40</v>
      </c>
      <c r="G426" s="4" t="s">
        <v>14</v>
      </c>
      <c r="H426">
        <v>83</v>
      </c>
      <c r="I426">
        <f t="shared" si="25"/>
        <v>24.87</v>
      </c>
      <c r="J426" t="s">
        <v>21</v>
      </c>
      <c r="K426" t="s">
        <v>22</v>
      </c>
      <c r="L426">
        <v>1524027600</v>
      </c>
      <c r="M426">
        <v>1524546000</v>
      </c>
      <c r="N426" s="19">
        <f t="shared" si="26"/>
        <v>43208.208333333328</v>
      </c>
      <c r="O426" s="19">
        <f t="shared" si="27"/>
        <v>43214.208333333328</v>
      </c>
      <c r="P426" t="b">
        <v>0</v>
      </c>
      <c r="Q426" t="b">
        <v>0</v>
      </c>
      <c r="R426" t="s">
        <v>60</v>
      </c>
      <c r="S426" t="s">
        <v>2033</v>
      </c>
      <c r="T426" t="s">
        <v>2043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>
        <f t="shared" si="24"/>
        <v>288</v>
      </c>
      <c r="G427" s="5" t="s">
        <v>20</v>
      </c>
      <c r="H427">
        <v>92</v>
      </c>
      <c r="I427">
        <f t="shared" si="25"/>
        <v>84.42</v>
      </c>
      <c r="J427" t="s">
        <v>21</v>
      </c>
      <c r="K427" t="s">
        <v>22</v>
      </c>
      <c r="L427">
        <v>1438059600</v>
      </c>
      <c r="M427">
        <v>1438578000</v>
      </c>
      <c r="N427" s="19">
        <f t="shared" si="26"/>
        <v>42213.208333333328</v>
      </c>
      <c r="O427" s="19">
        <f t="shared" si="27"/>
        <v>42219.208333333328</v>
      </c>
      <c r="P427" t="b">
        <v>0</v>
      </c>
      <c r="Q427" t="b">
        <v>0</v>
      </c>
      <c r="R427" t="s">
        <v>122</v>
      </c>
      <c r="S427" t="s">
        <v>2052</v>
      </c>
      <c r="T427" t="s">
        <v>2053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>
        <f t="shared" si="24"/>
        <v>573</v>
      </c>
      <c r="G428" s="5" t="s">
        <v>20</v>
      </c>
      <c r="H428">
        <v>219</v>
      </c>
      <c r="I428">
        <f t="shared" si="25"/>
        <v>47.09</v>
      </c>
      <c r="J428" t="s">
        <v>21</v>
      </c>
      <c r="K428" t="s">
        <v>22</v>
      </c>
      <c r="L428">
        <v>1361944800</v>
      </c>
      <c r="M428">
        <v>1362549600</v>
      </c>
      <c r="N428" s="19">
        <f t="shared" si="26"/>
        <v>41332.25</v>
      </c>
      <c r="O428" s="19">
        <f t="shared" si="27"/>
        <v>41339.25</v>
      </c>
      <c r="P428" t="b">
        <v>0</v>
      </c>
      <c r="Q428" t="b">
        <v>0</v>
      </c>
      <c r="R428" t="s">
        <v>33</v>
      </c>
      <c r="S428" t="s">
        <v>2037</v>
      </c>
      <c r="T428" t="s">
        <v>2038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>
        <f t="shared" si="24"/>
        <v>113</v>
      </c>
      <c r="G429" s="5" t="s">
        <v>20</v>
      </c>
      <c r="H429">
        <v>2526</v>
      </c>
      <c r="I429">
        <f t="shared" si="25"/>
        <v>78</v>
      </c>
      <c r="J429" t="s">
        <v>21</v>
      </c>
      <c r="K429" t="s">
        <v>22</v>
      </c>
      <c r="L429">
        <v>1410584400</v>
      </c>
      <c r="M429">
        <v>1413349200</v>
      </c>
      <c r="N429" s="19">
        <f t="shared" si="26"/>
        <v>41895.208333333336</v>
      </c>
      <c r="O429" s="19">
        <f t="shared" si="27"/>
        <v>41927.208333333336</v>
      </c>
      <c r="P429" t="b">
        <v>0</v>
      </c>
      <c r="Q429" t="b">
        <v>1</v>
      </c>
      <c r="R429" t="s">
        <v>33</v>
      </c>
      <c r="S429" t="s">
        <v>2037</v>
      </c>
      <c r="T429" t="s">
        <v>2038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>
        <f t="shared" si="24"/>
        <v>46</v>
      </c>
      <c r="G430" s="4" t="s">
        <v>14</v>
      </c>
      <c r="H430">
        <v>747</v>
      </c>
      <c r="I430">
        <f t="shared" si="25"/>
        <v>62.97</v>
      </c>
      <c r="J430" t="s">
        <v>21</v>
      </c>
      <c r="K430" t="s">
        <v>22</v>
      </c>
      <c r="L430">
        <v>1297404000</v>
      </c>
      <c r="M430">
        <v>1298008800</v>
      </c>
      <c r="N430" s="19">
        <f t="shared" si="26"/>
        <v>40585.25</v>
      </c>
      <c r="O430" s="19">
        <f t="shared" si="27"/>
        <v>40592.25</v>
      </c>
      <c r="P430" t="b">
        <v>0</v>
      </c>
      <c r="Q430" t="b">
        <v>0</v>
      </c>
      <c r="R430" t="s">
        <v>71</v>
      </c>
      <c r="S430" t="s">
        <v>2039</v>
      </c>
      <c r="T430" t="s">
        <v>2047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>
        <f t="shared" si="24"/>
        <v>91</v>
      </c>
      <c r="G431" s="7" t="s">
        <v>74</v>
      </c>
      <c r="H431">
        <v>2138</v>
      </c>
      <c r="I431">
        <f t="shared" si="25"/>
        <v>81.010000000000005</v>
      </c>
      <c r="J431" t="s">
        <v>21</v>
      </c>
      <c r="K431" t="s">
        <v>22</v>
      </c>
      <c r="L431">
        <v>1392012000</v>
      </c>
      <c r="M431">
        <v>1394427600</v>
      </c>
      <c r="N431" s="19">
        <f t="shared" si="26"/>
        <v>41680.25</v>
      </c>
      <c r="O431" s="19">
        <f t="shared" si="27"/>
        <v>41708.208333333336</v>
      </c>
      <c r="P431" t="b">
        <v>0</v>
      </c>
      <c r="Q431" t="b">
        <v>1</v>
      </c>
      <c r="R431" t="s">
        <v>122</v>
      </c>
      <c r="S431" t="s">
        <v>2052</v>
      </c>
      <c r="T431" t="s">
        <v>2053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>
        <f t="shared" si="24"/>
        <v>68</v>
      </c>
      <c r="G432" s="4" t="s">
        <v>14</v>
      </c>
      <c r="H432">
        <v>84</v>
      </c>
      <c r="I432">
        <f t="shared" si="25"/>
        <v>65.319999999999993</v>
      </c>
      <c r="J432" t="s">
        <v>21</v>
      </c>
      <c r="K432" t="s">
        <v>22</v>
      </c>
      <c r="L432">
        <v>1569733200</v>
      </c>
      <c r="M432">
        <v>1572670800</v>
      </c>
      <c r="N432" s="19">
        <f t="shared" si="26"/>
        <v>43737.208333333328</v>
      </c>
      <c r="O432" s="19">
        <f t="shared" si="27"/>
        <v>43771.208333333328</v>
      </c>
      <c r="P432" t="b">
        <v>0</v>
      </c>
      <c r="Q432" t="b">
        <v>0</v>
      </c>
      <c r="R432" t="s">
        <v>33</v>
      </c>
      <c r="S432" t="s">
        <v>2037</v>
      </c>
      <c r="T432" t="s">
        <v>2038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>
        <f t="shared" si="24"/>
        <v>192</v>
      </c>
      <c r="G433" s="5" t="s">
        <v>20</v>
      </c>
      <c r="H433">
        <v>94</v>
      </c>
      <c r="I433">
        <f t="shared" si="25"/>
        <v>104.44</v>
      </c>
      <c r="J433" t="s">
        <v>21</v>
      </c>
      <c r="K433" t="s">
        <v>22</v>
      </c>
      <c r="L433">
        <v>1529643600</v>
      </c>
      <c r="M433">
        <v>1531112400</v>
      </c>
      <c r="N433" s="19">
        <f t="shared" si="26"/>
        <v>43273.208333333328</v>
      </c>
      <c r="O433" s="19">
        <f t="shared" si="27"/>
        <v>43290.208333333328</v>
      </c>
      <c r="P433" t="b">
        <v>1</v>
      </c>
      <c r="Q433" t="b">
        <v>0</v>
      </c>
      <c r="R433" t="s">
        <v>33</v>
      </c>
      <c r="S433" t="s">
        <v>2037</v>
      </c>
      <c r="T433" t="s">
        <v>2038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>
        <f t="shared" si="24"/>
        <v>83</v>
      </c>
      <c r="G434" s="4" t="s">
        <v>14</v>
      </c>
      <c r="H434">
        <v>91</v>
      </c>
      <c r="I434">
        <f t="shared" si="25"/>
        <v>69.989999999999995</v>
      </c>
      <c r="J434" t="s">
        <v>21</v>
      </c>
      <c r="K434" t="s">
        <v>22</v>
      </c>
      <c r="L434">
        <v>1399006800</v>
      </c>
      <c r="M434">
        <v>1400734800</v>
      </c>
      <c r="N434" s="19">
        <f t="shared" si="26"/>
        <v>41761.208333333336</v>
      </c>
      <c r="O434" s="19">
        <f t="shared" si="27"/>
        <v>41781.208333333336</v>
      </c>
      <c r="P434" t="b">
        <v>0</v>
      </c>
      <c r="Q434" t="b">
        <v>0</v>
      </c>
      <c r="R434" t="s">
        <v>33</v>
      </c>
      <c r="S434" t="s">
        <v>2037</v>
      </c>
      <c r="T434" t="s">
        <v>2038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>
        <f t="shared" si="24"/>
        <v>54</v>
      </c>
      <c r="G435" s="4" t="s">
        <v>14</v>
      </c>
      <c r="H435">
        <v>792</v>
      </c>
      <c r="I435">
        <f t="shared" si="25"/>
        <v>83.02</v>
      </c>
      <c r="J435" t="s">
        <v>21</v>
      </c>
      <c r="K435" t="s">
        <v>22</v>
      </c>
      <c r="L435">
        <v>1385359200</v>
      </c>
      <c r="M435">
        <v>1386741600</v>
      </c>
      <c r="N435" s="19">
        <f t="shared" si="26"/>
        <v>41603.25</v>
      </c>
      <c r="O435" s="19">
        <f t="shared" si="27"/>
        <v>41619.25</v>
      </c>
      <c r="P435" t="b">
        <v>0</v>
      </c>
      <c r="Q435" t="b">
        <v>1</v>
      </c>
      <c r="R435" t="s">
        <v>42</v>
      </c>
      <c r="S435" t="s">
        <v>2039</v>
      </c>
      <c r="T435" t="s">
        <v>2040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>
        <f t="shared" si="24"/>
        <v>17</v>
      </c>
      <c r="G436" s="7" t="s">
        <v>74</v>
      </c>
      <c r="H436">
        <v>10</v>
      </c>
      <c r="I436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s="19">
        <f t="shared" si="26"/>
        <v>42705.25</v>
      </c>
      <c r="O436" s="19">
        <f t="shared" si="27"/>
        <v>42719.25</v>
      </c>
      <c r="P436" t="b">
        <v>1</v>
      </c>
      <c r="Q436" t="b">
        <v>0</v>
      </c>
      <c r="R436" t="s">
        <v>33</v>
      </c>
      <c r="S436" t="s">
        <v>2037</v>
      </c>
      <c r="T436" t="s">
        <v>2038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>
        <f t="shared" si="24"/>
        <v>117</v>
      </c>
      <c r="G437" s="5" t="s">
        <v>20</v>
      </c>
      <c r="H437">
        <v>1713</v>
      </c>
      <c r="I437">
        <f t="shared" si="25"/>
        <v>103.98</v>
      </c>
      <c r="J437" t="s">
        <v>107</v>
      </c>
      <c r="K437" t="s">
        <v>108</v>
      </c>
      <c r="L437">
        <v>1418623200</v>
      </c>
      <c r="M437">
        <v>1419660000</v>
      </c>
      <c r="N437" s="19">
        <f t="shared" si="26"/>
        <v>41988.25</v>
      </c>
      <c r="O437" s="19">
        <f t="shared" si="27"/>
        <v>42000.25</v>
      </c>
      <c r="P437" t="b">
        <v>0</v>
      </c>
      <c r="Q437" t="b">
        <v>1</v>
      </c>
      <c r="R437" t="s">
        <v>33</v>
      </c>
      <c r="S437" t="s">
        <v>2037</v>
      </c>
      <c r="T437" t="s">
        <v>2038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>
        <f t="shared" si="24"/>
        <v>1052</v>
      </c>
      <c r="G438" s="5" t="s">
        <v>20</v>
      </c>
      <c r="H438">
        <v>249</v>
      </c>
      <c r="I438">
        <f t="shared" si="25"/>
        <v>54.93</v>
      </c>
      <c r="J438" t="s">
        <v>21</v>
      </c>
      <c r="K438" t="s">
        <v>22</v>
      </c>
      <c r="L438">
        <v>1555736400</v>
      </c>
      <c r="M438">
        <v>1555822800</v>
      </c>
      <c r="N438" s="19">
        <f t="shared" si="26"/>
        <v>43575.208333333328</v>
      </c>
      <c r="O438" s="19">
        <f t="shared" si="27"/>
        <v>43576.208333333328</v>
      </c>
      <c r="P438" t="b">
        <v>0</v>
      </c>
      <c r="Q438" t="b">
        <v>0</v>
      </c>
      <c r="R438" t="s">
        <v>159</v>
      </c>
      <c r="S438" t="s">
        <v>2033</v>
      </c>
      <c r="T438" t="s">
        <v>2056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>
        <f t="shared" si="24"/>
        <v>123</v>
      </c>
      <c r="G439" s="5" t="s">
        <v>20</v>
      </c>
      <c r="H439">
        <v>192</v>
      </c>
      <c r="I439">
        <f t="shared" si="25"/>
        <v>51.92</v>
      </c>
      <c r="J439" t="s">
        <v>21</v>
      </c>
      <c r="K439" t="s">
        <v>22</v>
      </c>
      <c r="L439">
        <v>1442120400</v>
      </c>
      <c r="M439">
        <v>1442379600</v>
      </c>
      <c r="N439" s="19">
        <f t="shared" si="26"/>
        <v>42260.208333333328</v>
      </c>
      <c r="O439" s="19">
        <f t="shared" si="27"/>
        <v>42263.208333333328</v>
      </c>
      <c r="P439" t="b">
        <v>0</v>
      </c>
      <c r="Q439" t="b">
        <v>1</v>
      </c>
      <c r="R439" t="s">
        <v>71</v>
      </c>
      <c r="S439" t="s">
        <v>2039</v>
      </c>
      <c r="T439" t="s">
        <v>2047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>
        <f t="shared" si="24"/>
        <v>179</v>
      </c>
      <c r="G440" s="5" t="s">
        <v>20</v>
      </c>
      <c r="H440">
        <v>247</v>
      </c>
      <c r="I440">
        <f t="shared" si="25"/>
        <v>60.03</v>
      </c>
      <c r="J440" t="s">
        <v>21</v>
      </c>
      <c r="K440" t="s">
        <v>22</v>
      </c>
      <c r="L440">
        <v>1362376800</v>
      </c>
      <c r="M440">
        <v>1364965200</v>
      </c>
      <c r="N440" s="19">
        <f t="shared" si="26"/>
        <v>41337.25</v>
      </c>
      <c r="O440" s="19">
        <f t="shared" si="27"/>
        <v>41367.208333333336</v>
      </c>
      <c r="P440" t="b">
        <v>0</v>
      </c>
      <c r="Q440" t="b">
        <v>0</v>
      </c>
      <c r="R440" t="s">
        <v>33</v>
      </c>
      <c r="S440" t="s">
        <v>2037</v>
      </c>
      <c r="T440" t="s">
        <v>2038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>
        <f t="shared" si="24"/>
        <v>355</v>
      </c>
      <c r="G441" s="5" t="s">
        <v>20</v>
      </c>
      <c r="H441">
        <v>2293</v>
      </c>
      <c r="I441">
        <f t="shared" si="25"/>
        <v>44</v>
      </c>
      <c r="J441" t="s">
        <v>21</v>
      </c>
      <c r="K441" t="s">
        <v>22</v>
      </c>
      <c r="L441">
        <v>1478408400</v>
      </c>
      <c r="M441">
        <v>1479016800</v>
      </c>
      <c r="N441" s="19">
        <f t="shared" si="26"/>
        <v>42680.208333333328</v>
      </c>
      <c r="O441" s="19">
        <f t="shared" si="27"/>
        <v>42687.25</v>
      </c>
      <c r="P441" t="b">
        <v>0</v>
      </c>
      <c r="Q441" t="b">
        <v>0</v>
      </c>
      <c r="R441" t="s">
        <v>474</v>
      </c>
      <c r="S441" t="s">
        <v>2039</v>
      </c>
      <c r="T441" t="s">
        <v>2061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>
        <f t="shared" si="24"/>
        <v>162</v>
      </c>
      <c r="G442" s="5" t="s">
        <v>20</v>
      </c>
      <c r="H442">
        <v>3131</v>
      </c>
      <c r="I442">
        <f t="shared" si="25"/>
        <v>53</v>
      </c>
      <c r="J442" t="s">
        <v>21</v>
      </c>
      <c r="K442" t="s">
        <v>22</v>
      </c>
      <c r="L442">
        <v>1498798800</v>
      </c>
      <c r="M442">
        <v>1499662800</v>
      </c>
      <c r="N442" s="19">
        <f t="shared" si="26"/>
        <v>42916.208333333328</v>
      </c>
      <c r="O442" s="19">
        <f t="shared" si="27"/>
        <v>42926.208333333328</v>
      </c>
      <c r="P442" t="b">
        <v>0</v>
      </c>
      <c r="Q442" t="b">
        <v>0</v>
      </c>
      <c r="R442" t="s">
        <v>269</v>
      </c>
      <c r="S442" t="s">
        <v>2039</v>
      </c>
      <c r="T442" t="s">
        <v>2058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>
        <f t="shared" si="24"/>
        <v>25</v>
      </c>
      <c r="G443" s="4" t="s">
        <v>14</v>
      </c>
      <c r="H443">
        <v>32</v>
      </c>
      <c r="I443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s="19">
        <f t="shared" si="26"/>
        <v>41025.208333333336</v>
      </c>
      <c r="O443" s="19">
        <f t="shared" si="27"/>
        <v>41053.208333333336</v>
      </c>
      <c r="P443" t="b">
        <v>0</v>
      </c>
      <c r="Q443" t="b">
        <v>0</v>
      </c>
      <c r="R443" t="s">
        <v>65</v>
      </c>
      <c r="S443" t="s">
        <v>2035</v>
      </c>
      <c r="T443" t="s">
        <v>2044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>
        <f t="shared" si="24"/>
        <v>199</v>
      </c>
      <c r="G444" s="5" t="s">
        <v>20</v>
      </c>
      <c r="H444">
        <v>143</v>
      </c>
      <c r="I444">
        <f t="shared" si="25"/>
        <v>75.040000000000006</v>
      </c>
      <c r="J444" t="s">
        <v>107</v>
      </c>
      <c r="K444" t="s">
        <v>108</v>
      </c>
      <c r="L444">
        <v>1504328400</v>
      </c>
      <c r="M444">
        <v>1505710800</v>
      </c>
      <c r="N444" s="19">
        <f t="shared" si="26"/>
        <v>42980.208333333328</v>
      </c>
      <c r="O444" s="19">
        <f t="shared" si="27"/>
        <v>42996.208333333328</v>
      </c>
      <c r="P444" t="b">
        <v>0</v>
      </c>
      <c r="Q444" t="b">
        <v>0</v>
      </c>
      <c r="R444" t="s">
        <v>33</v>
      </c>
      <c r="S444" t="s">
        <v>2037</v>
      </c>
      <c r="T444" t="s">
        <v>2038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>
        <f t="shared" si="24"/>
        <v>35</v>
      </c>
      <c r="G445" s="7" t="s">
        <v>74</v>
      </c>
      <c r="H445">
        <v>90</v>
      </c>
      <c r="I445">
        <f t="shared" si="25"/>
        <v>35.909999999999997</v>
      </c>
      <c r="J445" t="s">
        <v>21</v>
      </c>
      <c r="K445" t="s">
        <v>22</v>
      </c>
      <c r="L445">
        <v>1285822800</v>
      </c>
      <c r="M445">
        <v>1287464400</v>
      </c>
      <c r="N445" s="19">
        <f t="shared" si="26"/>
        <v>40451.208333333336</v>
      </c>
      <c r="O445" s="19">
        <f t="shared" si="27"/>
        <v>40470.208333333336</v>
      </c>
      <c r="P445" t="b">
        <v>0</v>
      </c>
      <c r="Q445" t="b">
        <v>0</v>
      </c>
      <c r="R445" t="s">
        <v>33</v>
      </c>
      <c r="S445" t="s">
        <v>2037</v>
      </c>
      <c r="T445" t="s">
        <v>2038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>
        <f t="shared" si="24"/>
        <v>176</v>
      </c>
      <c r="G446" s="5" t="s">
        <v>20</v>
      </c>
      <c r="H446">
        <v>296</v>
      </c>
      <c r="I446">
        <f t="shared" si="25"/>
        <v>36.950000000000003</v>
      </c>
      <c r="J446" t="s">
        <v>21</v>
      </c>
      <c r="K446" t="s">
        <v>22</v>
      </c>
      <c r="L446">
        <v>1311483600</v>
      </c>
      <c r="M446">
        <v>1311656400</v>
      </c>
      <c r="N446" s="19">
        <f t="shared" si="26"/>
        <v>40748.208333333336</v>
      </c>
      <c r="O446" s="19">
        <f t="shared" si="27"/>
        <v>40750.208333333336</v>
      </c>
      <c r="P446" t="b">
        <v>0</v>
      </c>
      <c r="Q446" t="b">
        <v>1</v>
      </c>
      <c r="R446" t="s">
        <v>60</v>
      </c>
      <c r="S446" t="s">
        <v>2033</v>
      </c>
      <c r="T446" t="s">
        <v>2043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>
        <f t="shared" si="24"/>
        <v>511</v>
      </c>
      <c r="G447" s="5" t="s">
        <v>20</v>
      </c>
      <c r="H447">
        <v>170</v>
      </c>
      <c r="I447">
        <f t="shared" si="25"/>
        <v>63.17</v>
      </c>
      <c r="J447" t="s">
        <v>21</v>
      </c>
      <c r="K447" t="s">
        <v>22</v>
      </c>
      <c r="L447">
        <v>1291356000</v>
      </c>
      <c r="M447">
        <v>1293170400</v>
      </c>
      <c r="N447" s="19">
        <f t="shared" si="26"/>
        <v>40515.25</v>
      </c>
      <c r="O447" s="19">
        <f t="shared" si="27"/>
        <v>40536.25</v>
      </c>
      <c r="P447" t="b">
        <v>0</v>
      </c>
      <c r="Q447" t="b">
        <v>1</v>
      </c>
      <c r="R447" t="s">
        <v>33</v>
      </c>
      <c r="S447" t="s">
        <v>2037</v>
      </c>
      <c r="T447" t="s">
        <v>2038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>
        <f t="shared" si="24"/>
        <v>82</v>
      </c>
      <c r="G448" s="4" t="s">
        <v>14</v>
      </c>
      <c r="H448">
        <v>186</v>
      </c>
      <c r="I448">
        <f t="shared" si="25"/>
        <v>29.99</v>
      </c>
      <c r="J448" t="s">
        <v>21</v>
      </c>
      <c r="K448" t="s">
        <v>22</v>
      </c>
      <c r="L448">
        <v>1355810400</v>
      </c>
      <c r="M448">
        <v>1355983200</v>
      </c>
      <c r="N448" s="19">
        <f t="shared" si="26"/>
        <v>41261.25</v>
      </c>
      <c r="O448" s="19">
        <f t="shared" si="27"/>
        <v>41263.25</v>
      </c>
      <c r="P448" t="b">
        <v>0</v>
      </c>
      <c r="Q448" t="b">
        <v>0</v>
      </c>
      <c r="R448" t="s">
        <v>65</v>
      </c>
      <c r="S448" t="s">
        <v>2035</v>
      </c>
      <c r="T448" t="s">
        <v>2044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>
        <f t="shared" si="24"/>
        <v>24</v>
      </c>
      <c r="G449" s="7" t="s">
        <v>74</v>
      </c>
      <c r="H449">
        <v>439</v>
      </c>
      <c r="I449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s="19">
        <f t="shared" si="26"/>
        <v>43088.25</v>
      </c>
      <c r="O449" s="19">
        <f t="shared" si="27"/>
        <v>43104.25</v>
      </c>
      <c r="P449" t="b">
        <v>0</v>
      </c>
      <c r="Q449" t="b">
        <v>0</v>
      </c>
      <c r="R449" t="s">
        <v>269</v>
      </c>
      <c r="S449" t="s">
        <v>2039</v>
      </c>
      <c r="T449" t="s">
        <v>2058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>
        <f t="shared" si="24"/>
        <v>50</v>
      </c>
      <c r="G450" s="4" t="s">
        <v>14</v>
      </c>
      <c r="H450">
        <v>605</v>
      </c>
      <c r="I450">
        <f t="shared" si="25"/>
        <v>75.010000000000005</v>
      </c>
      <c r="J450" t="s">
        <v>21</v>
      </c>
      <c r="K450" t="s">
        <v>22</v>
      </c>
      <c r="L450">
        <v>1365915600</v>
      </c>
      <c r="M450">
        <v>1366088400</v>
      </c>
      <c r="N450" s="19">
        <f t="shared" si="26"/>
        <v>41378.208333333336</v>
      </c>
      <c r="O450" s="19">
        <f t="shared" si="27"/>
        <v>41380.208333333336</v>
      </c>
      <c r="P450" t="b">
        <v>0</v>
      </c>
      <c r="Q450" t="b">
        <v>1</v>
      </c>
      <c r="R450" t="s">
        <v>89</v>
      </c>
      <c r="S450" t="s">
        <v>2048</v>
      </c>
      <c r="T450" t="s">
        <v>2049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>
        <f t="shared" ref="F451:F514" si="28">ROUND(E451/D451*100,0)</f>
        <v>967</v>
      </c>
      <c r="G451" s="5" t="s">
        <v>20</v>
      </c>
      <c r="H451">
        <v>86</v>
      </c>
      <c r="I451">
        <f t="shared" ref="I451:I514" si="29">ROUND(E451/H451,2)</f>
        <v>101.2</v>
      </c>
      <c r="J451" t="s">
        <v>36</v>
      </c>
      <c r="K451" t="s">
        <v>37</v>
      </c>
      <c r="L451">
        <v>1551852000</v>
      </c>
      <c r="M451">
        <v>1553317200</v>
      </c>
      <c r="N451" s="19">
        <f t="shared" ref="N451:N514" si="30">(((L451/60)/60)/24)+DATE(1970,1,1)</f>
        <v>43530.25</v>
      </c>
      <c r="O451" s="19">
        <f t="shared" ref="O451:O514" si="31">(((M451/60)/60)/24)+DATE(1970,1,1)</f>
        <v>43547.208333333328</v>
      </c>
      <c r="P451" t="b">
        <v>0</v>
      </c>
      <c r="Q451" t="b">
        <v>0</v>
      </c>
      <c r="R451" t="s">
        <v>89</v>
      </c>
      <c r="S451" t="s">
        <v>2048</v>
      </c>
      <c r="T451" t="s">
        <v>2049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>
        <f t="shared" si="28"/>
        <v>4</v>
      </c>
      <c r="G452" s="4" t="s">
        <v>14</v>
      </c>
      <c r="H452">
        <v>1</v>
      </c>
      <c r="I452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s="19">
        <f t="shared" si="30"/>
        <v>43394.208333333328</v>
      </c>
      <c r="O452" s="19">
        <f t="shared" si="31"/>
        <v>43417.25</v>
      </c>
      <c r="P452" t="b">
        <v>0</v>
      </c>
      <c r="Q452" t="b">
        <v>0</v>
      </c>
      <c r="R452" t="s">
        <v>71</v>
      </c>
      <c r="S452" t="s">
        <v>2039</v>
      </c>
      <c r="T452" t="s">
        <v>2047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>
        <f t="shared" si="28"/>
        <v>123</v>
      </c>
      <c r="G453" s="5" t="s">
        <v>20</v>
      </c>
      <c r="H453">
        <v>6286</v>
      </c>
      <c r="I453">
        <f t="shared" si="29"/>
        <v>29</v>
      </c>
      <c r="J453" t="s">
        <v>21</v>
      </c>
      <c r="K453" t="s">
        <v>22</v>
      </c>
      <c r="L453">
        <v>1500440400</v>
      </c>
      <c r="M453">
        <v>1503118800</v>
      </c>
      <c r="N453" s="19">
        <f t="shared" si="30"/>
        <v>42935.208333333328</v>
      </c>
      <c r="O453" s="19">
        <f t="shared" si="31"/>
        <v>42966.208333333328</v>
      </c>
      <c r="P453" t="b">
        <v>0</v>
      </c>
      <c r="Q453" t="b">
        <v>0</v>
      </c>
      <c r="R453" t="s">
        <v>23</v>
      </c>
      <c r="S453" t="s">
        <v>2033</v>
      </c>
      <c r="T453" t="s">
        <v>2034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>
        <f t="shared" si="28"/>
        <v>63</v>
      </c>
      <c r="G454" s="4" t="s">
        <v>14</v>
      </c>
      <c r="H454">
        <v>31</v>
      </c>
      <c r="I454">
        <f t="shared" si="29"/>
        <v>98.23</v>
      </c>
      <c r="J454" t="s">
        <v>21</v>
      </c>
      <c r="K454" t="s">
        <v>22</v>
      </c>
      <c r="L454">
        <v>1278392400</v>
      </c>
      <c r="M454">
        <v>1278478800</v>
      </c>
      <c r="N454" s="19">
        <f t="shared" si="30"/>
        <v>40365.208333333336</v>
      </c>
      <c r="O454" s="19">
        <f t="shared" si="31"/>
        <v>40366.208333333336</v>
      </c>
      <c r="P454" t="b">
        <v>0</v>
      </c>
      <c r="Q454" t="b">
        <v>0</v>
      </c>
      <c r="R454" t="s">
        <v>53</v>
      </c>
      <c r="S454" t="s">
        <v>2039</v>
      </c>
      <c r="T454" t="s">
        <v>2042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>
        <f t="shared" si="28"/>
        <v>56</v>
      </c>
      <c r="G455" s="4" t="s">
        <v>14</v>
      </c>
      <c r="H455">
        <v>1181</v>
      </c>
      <c r="I455">
        <f t="shared" si="29"/>
        <v>87</v>
      </c>
      <c r="J455" t="s">
        <v>21</v>
      </c>
      <c r="K455" t="s">
        <v>22</v>
      </c>
      <c r="L455">
        <v>1480572000</v>
      </c>
      <c r="M455">
        <v>1484114400</v>
      </c>
      <c r="N455" s="19">
        <f t="shared" si="30"/>
        <v>42705.25</v>
      </c>
      <c r="O455" s="19">
        <f t="shared" si="31"/>
        <v>42746.25</v>
      </c>
      <c r="P455" t="b">
        <v>0</v>
      </c>
      <c r="Q455" t="b">
        <v>0</v>
      </c>
      <c r="R455" t="s">
        <v>474</v>
      </c>
      <c r="S455" t="s">
        <v>2039</v>
      </c>
      <c r="T455" t="s">
        <v>2061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>
        <f t="shared" si="28"/>
        <v>44</v>
      </c>
      <c r="G456" s="4" t="s">
        <v>14</v>
      </c>
      <c r="H456">
        <v>39</v>
      </c>
      <c r="I456">
        <f t="shared" si="29"/>
        <v>45.21</v>
      </c>
      <c r="J456" t="s">
        <v>21</v>
      </c>
      <c r="K456" t="s">
        <v>22</v>
      </c>
      <c r="L456">
        <v>1382331600</v>
      </c>
      <c r="M456">
        <v>1385445600</v>
      </c>
      <c r="N456" s="19">
        <f t="shared" si="30"/>
        <v>41568.208333333336</v>
      </c>
      <c r="O456" s="19">
        <f t="shared" si="31"/>
        <v>41604.25</v>
      </c>
      <c r="P456" t="b">
        <v>0</v>
      </c>
      <c r="Q456" t="b">
        <v>1</v>
      </c>
      <c r="R456" t="s">
        <v>53</v>
      </c>
      <c r="S456" t="s">
        <v>2039</v>
      </c>
      <c r="T456" t="s">
        <v>2042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>
        <f t="shared" si="28"/>
        <v>118</v>
      </c>
      <c r="G457" s="5" t="s">
        <v>20</v>
      </c>
      <c r="H457">
        <v>3727</v>
      </c>
      <c r="I457">
        <f t="shared" si="29"/>
        <v>37</v>
      </c>
      <c r="J457" t="s">
        <v>21</v>
      </c>
      <c r="K457" t="s">
        <v>22</v>
      </c>
      <c r="L457">
        <v>1316754000</v>
      </c>
      <c r="M457">
        <v>1318741200</v>
      </c>
      <c r="N457" s="19">
        <f t="shared" si="30"/>
        <v>40809.208333333336</v>
      </c>
      <c r="O457" s="19">
        <f t="shared" si="31"/>
        <v>40832.208333333336</v>
      </c>
      <c r="P457" t="b">
        <v>0</v>
      </c>
      <c r="Q457" t="b">
        <v>0</v>
      </c>
      <c r="R457" t="s">
        <v>33</v>
      </c>
      <c r="S457" t="s">
        <v>2037</v>
      </c>
      <c r="T457" t="s">
        <v>2038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>
        <f t="shared" si="28"/>
        <v>104</v>
      </c>
      <c r="G458" s="5" t="s">
        <v>20</v>
      </c>
      <c r="H458">
        <v>1605</v>
      </c>
      <c r="I458">
        <f t="shared" si="29"/>
        <v>94.98</v>
      </c>
      <c r="J458" t="s">
        <v>21</v>
      </c>
      <c r="K458" t="s">
        <v>22</v>
      </c>
      <c r="L458">
        <v>1518242400</v>
      </c>
      <c r="M458">
        <v>1518242400</v>
      </c>
      <c r="N458" s="19">
        <f t="shared" si="30"/>
        <v>43141.25</v>
      </c>
      <c r="O458" s="19">
        <f t="shared" si="31"/>
        <v>43141.25</v>
      </c>
      <c r="P458" t="b">
        <v>0</v>
      </c>
      <c r="Q458" t="b">
        <v>1</v>
      </c>
      <c r="R458" t="s">
        <v>60</v>
      </c>
      <c r="S458" t="s">
        <v>2033</v>
      </c>
      <c r="T458" t="s">
        <v>2043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>
        <f t="shared" si="28"/>
        <v>27</v>
      </c>
      <c r="G459" s="4" t="s">
        <v>14</v>
      </c>
      <c r="H459">
        <v>46</v>
      </c>
      <c r="I459">
        <f t="shared" si="29"/>
        <v>28.96</v>
      </c>
      <c r="J459" t="s">
        <v>21</v>
      </c>
      <c r="K459" t="s">
        <v>22</v>
      </c>
      <c r="L459">
        <v>1476421200</v>
      </c>
      <c r="M459">
        <v>1476594000</v>
      </c>
      <c r="N459" s="19">
        <f t="shared" si="30"/>
        <v>42657.208333333328</v>
      </c>
      <c r="O459" s="19">
        <f t="shared" si="31"/>
        <v>42659.208333333328</v>
      </c>
      <c r="P459" t="b">
        <v>0</v>
      </c>
      <c r="Q459" t="b">
        <v>0</v>
      </c>
      <c r="R459" t="s">
        <v>33</v>
      </c>
      <c r="S459" t="s">
        <v>2037</v>
      </c>
      <c r="T459" t="s">
        <v>2038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>
        <f t="shared" si="28"/>
        <v>351</v>
      </c>
      <c r="G460" s="5" t="s">
        <v>20</v>
      </c>
      <c r="H460">
        <v>2120</v>
      </c>
      <c r="I460">
        <f t="shared" si="29"/>
        <v>55.99</v>
      </c>
      <c r="J460" t="s">
        <v>21</v>
      </c>
      <c r="K460" t="s">
        <v>22</v>
      </c>
      <c r="L460">
        <v>1269752400</v>
      </c>
      <c r="M460">
        <v>1273554000</v>
      </c>
      <c r="N460" s="19">
        <f t="shared" si="30"/>
        <v>40265.208333333336</v>
      </c>
      <c r="O460" s="19">
        <f t="shared" si="31"/>
        <v>40309.208333333336</v>
      </c>
      <c r="P460" t="b">
        <v>0</v>
      </c>
      <c r="Q460" t="b">
        <v>0</v>
      </c>
      <c r="R460" t="s">
        <v>33</v>
      </c>
      <c r="S460" t="s">
        <v>2037</v>
      </c>
      <c r="T460" t="s">
        <v>2038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>
        <f t="shared" si="28"/>
        <v>90</v>
      </c>
      <c r="G461" s="4" t="s">
        <v>14</v>
      </c>
      <c r="H461">
        <v>105</v>
      </c>
      <c r="I461">
        <f t="shared" si="29"/>
        <v>54.04</v>
      </c>
      <c r="J461" t="s">
        <v>21</v>
      </c>
      <c r="K461" t="s">
        <v>22</v>
      </c>
      <c r="L461">
        <v>1419746400</v>
      </c>
      <c r="M461">
        <v>1421906400</v>
      </c>
      <c r="N461" s="19">
        <f t="shared" si="30"/>
        <v>42001.25</v>
      </c>
      <c r="O461" s="19">
        <f t="shared" si="31"/>
        <v>42026.25</v>
      </c>
      <c r="P461" t="b">
        <v>0</v>
      </c>
      <c r="Q461" t="b">
        <v>0</v>
      </c>
      <c r="R461" t="s">
        <v>42</v>
      </c>
      <c r="S461" t="s">
        <v>2039</v>
      </c>
      <c r="T461" t="s">
        <v>2040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>
        <f t="shared" si="28"/>
        <v>172</v>
      </c>
      <c r="G462" s="5" t="s">
        <v>20</v>
      </c>
      <c r="H462">
        <v>50</v>
      </c>
      <c r="I462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s="19">
        <f t="shared" si="30"/>
        <v>40399.208333333336</v>
      </c>
      <c r="O462" s="19">
        <f t="shared" si="31"/>
        <v>40402.208333333336</v>
      </c>
      <c r="P462" t="b">
        <v>0</v>
      </c>
      <c r="Q462" t="b">
        <v>0</v>
      </c>
      <c r="R462" t="s">
        <v>33</v>
      </c>
      <c r="S462" t="s">
        <v>2037</v>
      </c>
      <c r="T462" t="s">
        <v>2038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>
        <f t="shared" si="28"/>
        <v>141</v>
      </c>
      <c r="G463" s="5" t="s">
        <v>20</v>
      </c>
      <c r="H463">
        <v>2080</v>
      </c>
      <c r="I463">
        <f t="shared" si="29"/>
        <v>67</v>
      </c>
      <c r="J463" t="s">
        <v>21</v>
      </c>
      <c r="K463" t="s">
        <v>22</v>
      </c>
      <c r="L463">
        <v>1398661200</v>
      </c>
      <c r="M463">
        <v>1400389200</v>
      </c>
      <c r="N463" s="19">
        <f t="shared" si="30"/>
        <v>41757.208333333336</v>
      </c>
      <c r="O463" s="19">
        <f t="shared" si="31"/>
        <v>41777.208333333336</v>
      </c>
      <c r="P463" t="b">
        <v>0</v>
      </c>
      <c r="Q463" t="b">
        <v>0</v>
      </c>
      <c r="R463" t="s">
        <v>53</v>
      </c>
      <c r="S463" t="s">
        <v>2039</v>
      </c>
      <c r="T463" t="s">
        <v>2042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>
        <f t="shared" si="28"/>
        <v>31</v>
      </c>
      <c r="G464" s="4" t="s">
        <v>14</v>
      </c>
      <c r="H464">
        <v>535</v>
      </c>
      <c r="I464">
        <f t="shared" si="29"/>
        <v>107.91</v>
      </c>
      <c r="J464" t="s">
        <v>21</v>
      </c>
      <c r="K464" t="s">
        <v>22</v>
      </c>
      <c r="L464">
        <v>1359525600</v>
      </c>
      <c r="M464">
        <v>1362808800</v>
      </c>
      <c r="N464" s="19">
        <f t="shared" si="30"/>
        <v>41304.25</v>
      </c>
      <c r="O464" s="19">
        <f t="shared" si="31"/>
        <v>41342.25</v>
      </c>
      <c r="P464" t="b">
        <v>0</v>
      </c>
      <c r="Q464" t="b">
        <v>0</v>
      </c>
      <c r="R464" t="s">
        <v>292</v>
      </c>
      <c r="S464" t="s">
        <v>2048</v>
      </c>
      <c r="T464" t="s">
        <v>2059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>
        <f t="shared" si="28"/>
        <v>108</v>
      </c>
      <c r="G465" s="5" t="s">
        <v>20</v>
      </c>
      <c r="H465">
        <v>2105</v>
      </c>
      <c r="I465">
        <f t="shared" si="29"/>
        <v>69.010000000000005</v>
      </c>
      <c r="J465" t="s">
        <v>21</v>
      </c>
      <c r="K465" t="s">
        <v>22</v>
      </c>
      <c r="L465">
        <v>1388469600</v>
      </c>
      <c r="M465">
        <v>1388815200</v>
      </c>
      <c r="N465" s="19">
        <f t="shared" si="30"/>
        <v>41639.25</v>
      </c>
      <c r="O465" s="19">
        <f t="shared" si="31"/>
        <v>41643.25</v>
      </c>
      <c r="P465" t="b">
        <v>0</v>
      </c>
      <c r="Q465" t="b">
        <v>0</v>
      </c>
      <c r="R465" t="s">
        <v>71</v>
      </c>
      <c r="S465" t="s">
        <v>2039</v>
      </c>
      <c r="T465" t="s">
        <v>2047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>
        <f t="shared" si="28"/>
        <v>133</v>
      </c>
      <c r="G466" s="5" t="s">
        <v>20</v>
      </c>
      <c r="H466">
        <v>2436</v>
      </c>
      <c r="I466">
        <f t="shared" si="29"/>
        <v>39.01</v>
      </c>
      <c r="J466" t="s">
        <v>21</v>
      </c>
      <c r="K466" t="s">
        <v>22</v>
      </c>
      <c r="L466">
        <v>1518328800</v>
      </c>
      <c r="M466">
        <v>1519538400</v>
      </c>
      <c r="N466" s="19">
        <f t="shared" si="30"/>
        <v>43142.25</v>
      </c>
      <c r="O466" s="19">
        <f t="shared" si="31"/>
        <v>43156.25</v>
      </c>
      <c r="P466" t="b">
        <v>0</v>
      </c>
      <c r="Q466" t="b">
        <v>0</v>
      </c>
      <c r="R466" t="s">
        <v>33</v>
      </c>
      <c r="S466" t="s">
        <v>2037</v>
      </c>
      <c r="T466" t="s">
        <v>2038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>
        <f t="shared" si="28"/>
        <v>188</v>
      </c>
      <c r="G467" s="5" t="s">
        <v>20</v>
      </c>
      <c r="H467">
        <v>80</v>
      </c>
      <c r="I467">
        <f t="shared" si="29"/>
        <v>110.36</v>
      </c>
      <c r="J467" t="s">
        <v>21</v>
      </c>
      <c r="K467" t="s">
        <v>22</v>
      </c>
      <c r="L467">
        <v>1517032800</v>
      </c>
      <c r="M467">
        <v>1517810400</v>
      </c>
      <c r="N467" s="19">
        <f t="shared" si="30"/>
        <v>43127.25</v>
      </c>
      <c r="O467" s="19">
        <f t="shared" si="31"/>
        <v>43136.25</v>
      </c>
      <c r="P467" t="b">
        <v>0</v>
      </c>
      <c r="Q467" t="b">
        <v>0</v>
      </c>
      <c r="R467" t="s">
        <v>206</v>
      </c>
      <c r="S467" t="s">
        <v>2045</v>
      </c>
      <c r="T467" t="s">
        <v>2057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>
        <f t="shared" si="28"/>
        <v>332</v>
      </c>
      <c r="G468" s="5" t="s">
        <v>20</v>
      </c>
      <c r="H468">
        <v>42</v>
      </c>
      <c r="I468">
        <f t="shared" si="29"/>
        <v>94.86</v>
      </c>
      <c r="J468" t="s">
        <v>21</v>
      </c>
      <c r="K468" t="s">
        <v>22</v>
      </c>
      <c r="L468">
        <v>1368594000</v>
      </c>
      <c r="M468">
        <v>1370581200</v>
      </c>
      <c r="N468" s="19">
        <f t="shared" si="30"/>
        <v>41409.208333333336</v>
      </c>
      <c r="O468" s="19">
        <f t="shared" si="31"/>
        <v>41432.208333333336</v>
      </c>
      <c r="P468" t="b">
        <v>0</v>
      </c>
      <c r="Q468" t="b">
        <v>1</v>
      </c>
      <c r="R468" t="s">
        <v>65</v>
      </c>
      <c r="S468" t="s">
        <v>2035</v>
      </c>
      <c r="T468" t="s">
        <v>2044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>
        <f t="shared" si="28"/>
        <v>575</v>
      </c>
      <c r="G469" s="5" t="s">
        <v>20</v>
      </c>
      <c r="H469">
        <v>139</v>
      </c>
      <c r="I469">
        <f t="shared" si="29"/>
        <v>57.94</v>
      </c>
      <c r="J469" t="s">
        <v>15</v>
      </c>
      <c r="K469" t="s">
        <v>16</v>
      </c>
      <c r="L469">
        <v>1448258400</v>
      </c>
      <c r="M469">
        <v>1448863200</v>
      </c>
      <c r="N469" s="19">
        <f t="shared" si="30"/>
        <v>42331.25</v>
      </c>
      <c r="O469" s="19">
        <f t="shared" si="31"/>
        <v>42338.25</v>
      </c>
      <c r="P469" t="b">
        <v>0</v>
      </c>
      <c r="Q469" t="b">
        <v>1</v>
      </c>
      <c r="R469" t="s">
        <v>28</v>
      </c>
      <c r="S469" t="s">
        <v>2035</v>
      </c>
      <c r="T469" t="s">
        <v>2036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>
        <f t="shared" si="28"/>
        <v>41</v>
      </c>
      <c r="G470" s="4" t="s">
        <v>14</v>
      </c>
      <c r="H470">
        <v>16</v>
      </c>
      <c r="I470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s="19">
        <f t="shared" si="30"/>
        <v>43569.208333333328</v>
      </c>
      <c r="O470" s="19">
        <f t="shared" si="31"/>
        <v>43585.208333333328</v>
      </c>
      <c r="P470" t="b">
        <v>0</v>
      </c>
      <c r="Q470" t="b">
        <v>0</v>
      </c>
      <c r="R470" t="s">
        <v>33</v>
      </c>
      <c r="S470" t="s">
        <v>2037</v>
      </c>
      <c r="T470" t="s">
        <v>2038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>
        <f t="shared" si="28"/>
        <v>184</v>
      </c>
      <c r="G471" s="5" t="s">
        <v>20</v>
      </c>
      <c r="H471">
        <v>159</v>
      </c>
      <c r="I471">
        <f t="shared" si="29"/>
        <v>64.959999999999994</v>
      </c>
      <c r="J471" t="s">
        <v>21</v>
      </c>
      <c r="K471" t="s">
        <v>22</v>
      </c>
      <c r="L471">
        <v>1431925200</v>
      </c>
      <c r="M471">
        <v>1432098000</v>
      </c>
      <c r="N471" s="19">
        <f t="shared" si="30"/>
        <v>42142.208333333328</v>
      </c>
      <c r="O471" s="19">
        <f t="shared" si="31"/>
        <v>42144.208333333328</v>
      </c>
      <c r="P471" t="b">
        <v>0</v>
      </c>
      <c r="Q471" t="b">
        <v>0</v>
      </c>
      <c r="R471" t="s">
        <v>53</v>
      </c>
      <c r="S471" t="s">
        <v>2039</v>
      </c>
      <c r="T471" t="s">
        <v>2042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>
        <f t="shared" si="28"/>
        <v>286</v>
      </c>
      <c r="G472" s="5" t="s">
        <v>20</v>
      </c>
      <c r="H472">
        <v>381</v>
      </c>
      <c r="I472">
        <f t="shared" si="29"/>
        <v>27.01</v>
      </c>
      <c r="J472" t="s">
        <v>21</v>
      </c>
      <c r="K472" t="s">
        <v>22</v>
      </c>
      <c r="L472">
        <v>1481522400</v>
      </c>
      <c r="M472">
        <v>1482127200</v>
      </c>
      <c r="N472" s="19">
        <f t="shared" si="30"/>
        <v>42716.25</v>
      </c>
      <c r="O472" s="19">
        <f t="shared" si="31"/>
        <v>42723.25</v>
      </c>
      <c r="P472" t="b">
        <v>0</v>
      </c>
      <c r="Q472" t="b">
        <v>0</v>
      </c>
      <c r="R472" t="s">
        <v>65</v>
      </c>
      <c r="S472" t="s">
        <v>2035</v>
      </c>
      <c r="T472" t="s">
        <v>2044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>
        <f t="shared" si="28"/>
        <v>319</v>
      </c>
      <c r="G473" s="5" t="s">
        <v>20</v>
      </c>
      <c r="H473">
        <v>194</v>
      </c>
      <c r="I473">
        <f t="shared" si="29"/>
        <v>50.97</v>
      </c>
      <c r="J473" t="s">
        <v>40</v>
      </c>
      <c r="K473" t="s">
        <v>41</v>
      </c>
      <c r="L473">
        <v>1335934800</v>
      </c>
      <c r="M473">
        <v>1335934800</v>
      </c>
      <c r="N473" s="19">
        <f t="shared" si="30"/>
        <v>41031.208333333336</v>
      </c>
      <c r="O473" s="19">
        <f t="shared" si="31"/>
        <v>41031.208333333336</v>
      </c>
      <c r="P473" t="b">
        <v>0</v>
      </c>
      <c r="Q473" t="b">
        <v>1</v>
      </c>
      <c r="R473" t="s">
        <v>17</v>
      </c>
      <c r="S473" t="s">
        <v>2031</v>
      </c>
      <c r="T473" t="s">
        <v>2032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>
        <f t="shared" si="28"/>
        <v>39</v>
      </c>
      <c r="G474" s="4" t="s">
        <v>14</v>
      </c>
      <c r="H474">
        <v>575</v>
      </c>
      <c r="I474">
        <f t="shared" si="29"/>
        <v>104.94</v>
      </c>
      <c r="J474" t="s">
        <v>21</v>
      </c>
      <c r="K474" t="s">
        <v>22</v>
      </c>
      <c r="L474">
        <v>1552280400</v>
      </c>
      <c r="M474">
        <v>1556946000</v>
      </c>
      <c r="N474" s="19">
        <f t="shared" si="30"/>
        <v>43535.208333333328</v>
      </c>
      <c r="O474" s="19">
        <f t="shared" si="31"/>
        <v>43589.208333333328</v>
      </c>
      <c r="P474" t="b">
        <v>0</v>
      </c>
      <c r="Q474" t="b">
        <v>0</v>
      </c>
      <c r="R474" t="s">
        <v>23</v>
      </c>
      <c r="S474" t="s">
        <v>2033</v>
      </c>
      <c r="T474" t="s">
        <v>2034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>
        <f t="shared" si="28"/>
        <v>178</v>
      </c>
      <c r="G475" s="5" t="s">
        <v>20</v>
      </c>
      <c r="H475">
        <v>106</v>
      </c>
      <c r="I475">
        <f t="shared" si="29"/>
        <v>84.03</v>
      </c>
      <c r="J475" t="s">
        <v>21</v>
      </c>
      <c r="K475" t="s">
        <v>22</v>
      </c>
      <c r="L475">
        <v>1529989200</v>
      </c>
      <c r="M475">
        <v>1530075600</v>
      </c>
      <c r="N475" s="19">
        <f t="shared" si="30"/>
        <v>43277.208333333328</v>
      </c>
      <c r="O475" s="19">
        <f t="shared" si="31"/>
        <v>43278.208333333328</v>
      </c>
      <c r="P475" t="b">
        <v>0</v>
      </c>
      <c r="Q475" t="b">
        <v>0</v>
      </c>
      <c r="R475" t="s">
        <v>50</v>
      </c>
      <c r="S475" t="s">
        <v>2033</v>
      </c>
      <c r="T475" t="s">
        <v>2041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>
        <f t="shared" si="28"/>
        <v>365</v>
      </c>
      <c r="G476" s="5" t="s">
        <v>20</v>
      </c>
      <c r="H476">
        <v>142</v>
      </c>
      <c r="I476">
        <f t="shared" si="29"/>
        <v>102.86</v>
      </c>
      <c r="J476" t="s">
        <v>21</v>
      </c>
      <c r="K476" t="s">
        <v>22</v>
      </c>
      <c r="L476">
        <v>1418709600</v>
      </c>
      <c r="M476">
        <v>1418796000</v>
      </c>
      <c r="N476" s="19">
        <f t="shared" si="30"/>
        <v>41989.25</v>
      </c>
      <c r="O476" s="19">
        <f t="shared" si="31"/>
        <v>41990.25</v>
      </c>
      <c r="P476" t="b">
        <v>0</v>
      </c>
      <c r="Q476" t="b">
        <v>0</v>
      </c>
      <c r="R476" t="s">
        <v>269</v>
      </c>
      <c r="S476" t="s">
        <v>2039</v>
      </c>
      <c r="T476" t="s">
        <v>2058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>
        <f t="shared" si="28"/>
        <v>114</v>
      </c>
      <c r="G477" s="5" t="s">
        <v>20</v>
      </c>
      <c r="H477">
        <v>211</v>
      </c>
      <c r="I477">
        <f t="shared" si="29"/>
        <v>39.96</v>
      </c>
      <c r="J477" t="s">
        <v>21</v>
      </c>
      <c r="K477" t="s">
        <v>22</v>
      </c>
      <c r="L477">
        <v>1372136400</v>
      </c>
      <c r="M477">
        <v>1372482000</v>
      </c>
      <c r="N477" s="19">
        <f t="shared" si="30"/>
        <v>41450.208333333336</v>
      </c>
      <c r="O477" s="19">
        <f t="shared" si="31"/>
        <v>41454.208333333336</v>
      </c>
      <c r="P477" t="b">
        <v>0</v>
      </c>
      <c r="Q477" t="b">
        <v>1</v>
      </c>
      <c r="R477" t="s">
        <v>206</v>
      </c>
      <c r="S477" t="s">
        <v>2045</v>
      </c>
      <c r="T477" t="s">
        <v>2057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>
        <f t="shared" si="28"/>
        <v>30</v>
      </c>
      <c r="G478" s="4" t="s">
        <v>14</v>
      </c>
      <c r="H478">
        <v>1120</v>
      </c>
      <c r="I478">
        <f t="shared" si="29"/>
        <v>51</v>
      </c>
      <c r="J478" t="s">
        <v>21</v>
      </c>
      <c r="K478" t="s">
        <v>22</v>
      </c>
      <c r="L478">
        <v>1533877200</v>
      </c>
      <c r="M478">
        <v>1534395600</v>
      </c>
      <c r="N478" s="19">
        <f t="shared" si="30"/>
        <v>43322.208333333328</v>
      </c>
      <c r="O478" s="19">
        <f t="shared" si="31"/>
        <v>43328.208333333328</v>
      </c>
      <c r="P478" t="b">
        <v>0</v>
      </c>
      <c r="Q478" t="b">
        <v>0</v>
      </c>
      <c r="R478" t="s">
        <v>119</v>
      </c>
      <c r="S478" t="s">
        <v>2045</v>
      </c>
      <c r="T478" t="s">
        <v>2051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>
        <f t="shared" si="28"/>
        <v>54</v>
      </c>
      <c r="G479" s="4" t="s">
        <v>14</v>
      </c>
      <c r="H479">
        <v>113</v>
      </c>
      <c r="I479">
        <f t="shared" si="29"/>
        <v>40.82</v>
      </c>
      <c r="J479" t="s">
        <v>21</v>
      </c>
      <c r="K479" t="s">
        <v>22</v>
      </c>
      <c r="L479">
        <v>1309064400</v>
      </c>
      <c r="M479">
        <v>1311397200</v>
      </c>
      <c r="N479" s="19">
        <f t="shared" si="30"/>
        <v>40720.208333333336</v>
      </c>
      <c r="O479" s="19">
        <f t="shared" si="31"/>
        <v>40747.208333333336</v>
      </c>
      <c r="P479" t="b">
        <v>0</v>
      </c>
      <c r="Q479" t="b">
        <v>0</v>
      </c>
      <c r="R479" t="s">
        <v>474</v>
      </c>
      <c r="S479" t="s">
        <v>2039</v>
      </c>
      <c r="T479" t="s">
        <v>2061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>
        <f t="shared" si="28"/>
        <v>236</v>
      </c>
      <c r="G480" s="5" t="s">
        <v>20</v>
      </c>
      <c r="H480">
        <v>2756</v>
      </c>
      <c r="I480">
        <f t="shared" si="29"/>
        <v>59</v>
      </c>
      <c r="J480" t="s">
        <v>21</v>
      </c>
      <c r="K480" t="s">
        <v>22</v>
      </c>
      <c r="L480">
        <v>1425877200</v>
      </c>
      <c r="M480">
        <v>1426914000</v>
      </c>
      <c r="N480" s="19">
        <f t="shared" si="30"/>
        <v>42072.208333333328</v>
      </c>
      <c r="O480" s="19">
        <f t="shared" si="31"/>
        <v>42084.208333333328</v>
      </c>
      <c r="P480" t="b">
        <v>0</v>
      </c>
      <c r="Q480" t="b">
        <v>0</v>
      </c>
      <c r="R480" t="s">
        <v>65</v>
      </c>
      <c r="S480" t="s">
        <v>2035</v>
      </c>
      <c r="T480" t="s">
        <v>2044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>
        <f t="shared" si="28"/>
        <v>513</v>
      </c>
      <c r="G481" s="5" t="s">
        <v>20</v>
      </c>
      <c r="H481">
        <v>173</v>
      </c>
      <c r="I481">
        <f t="shared" si="29"/>
        <v>71.16</v>
      </c>
      <c r="J481" t="s">
        <v>40</v>
      </c>
      <c r="K481" t="s">
        <v>41</v>
      </c>
      <c r="L481">
        <v>1501304400</v>
      </c>
      <c r="M481">
        <v>1501477200</v>
      </c>
      <c r="N481" s="19">
        <f t="shared" si="30"/>
        <v>42945.208333333328</v>
      </c>
      <c r="O481" s="19">
        <f t="shared" si="31"/>
        <v>42947.208333333328</v>
      </c>
      <c r="P481" t="b">
        <v>0</v>
      </c>
      <c r="Q481" t="b">
        <v>0</v>
      </c>
      <c r="R481" t="s">
        <v>17</v>
      </c>
      <c r="S481" t="s">
        <v>2031</v>
      </c>
      <c r="T481" t="s">
        <v>2032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>
        <f t="shared" si="28"/>
        <v>101</v>
      </c>
      <c r="G482" s="5" t="s">
        <v>20</v>
      </c>
      <c r="H482">
        <v>87</v>
      </c>
      <c r="I482">
        <f t="shared" si="29"/>
        <v>99.49</v>
      </c>
      <c r="J482" t="s">
        <v>21</v>
      </c>
      <c r="K482" t="s">
        <v>22</v>
      </c>
      <c r="L482">
        <v>1268287200</v>
      </c>
      <c r="M482">
        <v>1269061200</v>
      </c>
      <c r="N482" s="19">
        <f t="shared" si="30"/>
        <v>40248.25</v>
      </c>
      <c r="O482" s="19">
        <f t="shared" si="31"/>
        <v>40257.208333333336</v>
      </c>
      <c r="P482" t="b">
        <v>0</v>
      </c>
      <c r="Q482" t="b">
        <v>1</v>
      </c>
      <c r="R482" t="s">
        <v>122</v>
      </c>
      <c r="S482" t="s">
        <v>2052</v>
      </c>
      <c r="T482" t="s">
        <v>2053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>
        <f t="shared" si="28"/>
        <v>81</v>
      </c>
      <c r="G483" s="4" t="s">
        <v>14</v>
      </c>
      <c r="H483">
        <v>1538</v>
      </c>
      <c r="I483">
        <f t="shared" si="29"/>
        <v>103.99</v>
      </c>
      <c r="J483" t="s">
        <v>21</v>
      </c>
      <c r="K483" t="s">
        <v>22</v>
      </c>
      <c r="L483">
        <v>1412139600</v>
      </c>
      <c r="M483">
        <v>1415772000</v>
      </c>
      <c r="N483" s="19">
        <f t="shared" si="30"/>
        <v>41913.208333333336</v>
      </c>
      <c r="O483" s="19">
        <f t="shared" si="31"/>
        <v>41955.25</v>
      </c>
      <c r="P483" t="b">
        <v>0</v>
      </c>
      <c r="Q483" t="b">
        <v>1</v>
      </c>
      <c r="R483" t="s">
        <v>33</v>
      </c>
      <c r="S483" t="s">
        <v>2037</v>
      </c>
      <c r="T483" t="s">
        <v>2038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>
        <f t="shared" si="28"/>
        <v>16</v>
      </c>
      <c r="G484" s="4" t="s">
        <v>14</v>
      </c>
      <c r="H484">
        <v>9</v>
      </c>
      <c r="I484">
        <f t="shared" si="29"/>
        <v>76.56</v>
      </c>
      <c r="J484" t="s">
        <v>21</v>
      </c>
      <c r="K484" t="s">
        <v>22</v>
      </c>
      <c r="L484">
        <v>1330063200</v>
      </c>
      <c r="M484">
        <v>1331013600</v>
      </c>
      <c r="N484" s="19">
        <f t="shared" si="30"/>
        <v>40963.25</v>
      </c>
      <c r="O484" s="19">
        <f t="shared" si="31"/>
        <v>40974.25</v>
      </c>
      <c r="P484" t="b">
        <v>0</v>
      </c>
      <c r="Q484" t="b">
        <v>1</v>
      </c>
      <c r="R484" t="s">
        <v>119</v>
      </c>
      <c r="S484" t="s">
        <v>2045</v>
      </c>
      <c r="T484" t="s">
        <v>2051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>
        <f t="shared" si="28"/>
        <v>53</v>
      </c>
      <c r="G485" s="4" t="s">
        <v>14</v>
      </c>
      <c r="H485">
        <v>554</v>
      </c>
      <c r="I485">
        <f t="shared" si="29"/>
        <v>87.07</v>
      </c>
      <c r="J485" t="s">
        <v>21</v>
      </c>
      <c r="K485" t="s">
        <v>22</v>
      </c>
      <c r="L485">
        <v>1576130400</v>
      </c>
      <c r="M485">
        <v>1576735200</v>
      </c>
      <c r="N485" s="19">
        <f t="shared" si="30"/>
        <v>43811.25</v>
      </c>
      <c r="O485" s="19">
        <f t="shared" si="31"/>
        <v>43818.25</v>
      </c>
      <c r="P485" t="b">
        <v>0</v>
      </c>
      <c r="Q485" t="b">
        <v>0</v>
      </c>
      <c r="R485" t="s">
        <v>33</v>
      </c>
      <c r="S485" t="s">
        <v>2037</v>
      </c>
      <c r="T485" t="s">
        <v>2038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>
        <f t="shared" si="28"/>
        <v>260</v>
      </c>
      <c r="G486" s="5" t="s">
        <v>20</v>
      </c>
      <c r="H486">
        <v>1572</v>
      </c>
      <c r="I486">
        <f t="shared" si="29"/>
        <v>49</v>
      </c>
      <c r="J486" t="s">
        <v>40</v>
      </c>
      <c r="K486" t="s">
        <v>41</v>
      </c>
      <c r="L486">
        <v>1407128400</v>
      </c>
      <c r="M486">
        <v>1411362000</v>
      </c>
      <c r="N486" s="19">
        <f t="shared" si="30"/>
        <v>41855.208333333336</v>
      </c>
      <c r="O486" s="19">
        <f t="shared" si="31"/>
        <v>41904.208333333336</v>
      </c>
      <c r="P486" t="b">
        <v>0</v>
      </c>
      <c r="Q486" t="b">
        <v>1</v>
      </c>
      <c r="R486" t="s">
        <v>17</v>
      </c>
      <c r="S486" t="s">
        <v>2031</v>
      </c>
      <c r="T486" t="s">
        <v>2032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>
        <f t="shared" si="28"/>
        <v>31</v>
      </c>
      <c r="G487" s="4" t="s">
        <v>14</v>
      </c>
      <c r="H487">
        <v>648</v>
      </c>
      <c r="I487">
        <f t="shared" si="29"/>
        <v>42.97</v>
      </c>
      <c r="J487" t="s">
        <v>40</v>
      </c>
      <c r="K487" t="s">
        <v>41</v>
      </c>
      <c r="L487">
        <v>1560142800</v>
      </c>
      <c r="M487">
        <v>1563685200</v>
      </c>
      <c r="N487" s="19">
        <f t="shared" si="30"/>
        <v>43626.208333333328</v>
      </c>
      <c r="O487" s="19">
        <f t="shared" si="31"/>
        <v>43667.208333333328</v>
      </c>
      <c r="P487" t="b">
        <v>0</v>
      </c>
      <c r="Q487" t="b">
        <v>0</v>
      </c>
      <c r="R487" t="s">
        <v>33</v>
      </c>
      <c r="S487" t="s">
        <v>2037</v>
      </c>
      <c r="T487" t="s">
        <v>2038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>
        <f t="shared" si="28"/>
        <v>14</v>
      </c>
      <c r="G488" s="4" t="s">
        <v>14</v>
      </c>
      <c r="H488">
        <v>21</v>
      </c>
      <c r="I488">
        <f t="shared" si="29"/>
        <v>33.43</v>
      </c>
      <c r="J488" t="s">
        <v>40</v>
      </c>
      <c r="K488" t="s">
        <v>41</v>
      </c>
      <c r="L488">
        <v>1520575200</v>
      </c>
      <c r="M488">
        <v>1521867600</v>
      </c>
      <c r="N488" s="19">
        <f t="shared" si="30"/>
        <v>43168.25</v>
      </c>
      <c r="O488" s="19">
        <f t="shared" si="31"/>
        <v>43183.208333333328</v>
      </c>
      <c r="P488" t="b">
        <v>0</v>
      </c>
      <c r="Q488" t="b">
        <v>1</v>
      </c>
      <c r="R488" t="s">
        <v>206</v>
      </c>
      <c r="S488" t="s">
        <v>2045</v>
      </c>
      <c r="T488" t="s">
        <v>2057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>
        <f t="shared" si="28"/>
        <v>179</v>
      </c>
      <c r="G489" s="5" t="s">
        <v>20</v>
      </c>
      <c r="H489">
        <v>2346</v>
      </c>
      <c r="I489">
        <f t="shared" si="29"/>
        <v>83.98</v>
      </c>
      <c r="J489" t="s">
        <v>21</v>
      </c>
      <c r="K489" t="s">
        <v>22</v>
      </c>
      <c r="L489">
        <v>1492664400</v>
      </c>
      <c r="M489">
        <v>1495515600</v>
      </c>
      <c r="N489" s="19">
        <f t="shared" si="30"/>
        <v>42845.208333333328</v>
      </c>
      <c r="O489" s="19">
        <f t="shared" si="31"/>
        <v>42878.208333333328</v>
      </c>
      <c r="P489" t="b">
        <v>0</v>
      </c>
      <c r="Q489" t="b">
        <v>0</v>
      </c>
      <c r="R489" t="s">
        <v>33</v>
      </c>
      <c r="S489" t="s">
        <v>2037</v>
      </c>
      <c r="T489" t="s">
        <v>2038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>
        <f t="shared" si="28"/>
        <v>220</v>
      </c>
      <c r="G490" s="5" t="s">
        <v>20</v>
      </c>
      <c r="H490">
        <v>115</v>
      </c>
      <c r="I490">
        <f t="shared" si="29"/>
        <v>101.42</v>
      </c>
      <c r="J490" t="s">
        <v>21</v>
      </c>
      <c r="K490" t="s">
        <v>22</v>
      </c>
      <c r="L490">
        <v>1454479200</v>
      </c>
      <c r="M490">
        <v>1455948000</v>
      </c>
      <c r="N490" s="19">
        <f t="shared" si="30"/>
        <v>42403.25</v>
      </c>
      <c r="O490" s="19">
        <f t="shared" si="31"/>
        <v>42420.25</v>
      </c>
      <c r="P490" t="b">
        <v>0</v>
      </c>
      <c r="Q490" t="b">
        <v>0</v>
      </c>
      <c r="R490" t="s">
        <v>33</v>
      </c>
      <c r="S490" t="s">
        <v>2037</v>
      </c>
      <c r="T490" t="s">
        <v>2038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>
        <f t="shared" si="28"/>
        <v>102</v>
      </c>
      <c r="G491" s="5" t="s">
        <v>20</v>
      </c>
      <c r="H491">
        <v>85</v>
      </c>
      <c r="I491">
        <f t="shared" si="29"/>
        <v>109.87</v>
      </c>
      <c r="J491" t="s">
        <v>107</v>
      </c>
      <c r="K491" t="s">
        <v>108</v>
      </c>
      <c r="L491">
        <v>1281934800</v>
      </c>
      <c r="M491">
        <v>1282366800</v>
      </c>
      <c r="N491" s="19">
        <f t="shared" si="30"/>
        <v>40406.208333333336</v>
      </c>
      <c r="O491" s="19">
        <f t="shared" si="31"/>
        <v>40411.208333333336</v>
      </c>
      <c r="P491" t="b">
        <v>0</v>
      </c>
      <c r="Q491" t="b">
        <v>0</v>
      </c>
      <c r="R491" t="s">
        <v>65</v>
      </c>
      <c r="S491" t="s">
        <v>2035</v>
      </c>
      <c r="T491" t="s">
        <v>2044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>
        <f t="shared" si="28"/>
        <v>192</v>
      </c>
      <c r="G492" s="5" t="s">
        <v>20</v>
      </c>
      <c r="H492">
        <v>144</v>
      </c>
      <c r="I492">
        <f t="shared" si="29"/>
        <v>31.92</v>
      </c>
      <c r="J492" t="s">
        <v>21</v>
      </c>
      <c r="K492" t="s">
        <v>22</v>
      </c>
      <c r="L492">
        <v>1573970400</v>
      </c>
      <c r="M492">
        <v>1574575200</v>
      </c>
      <c r="N492" s="19">
        <f t="shared" si="30"/>
        <v>43786.25</v>
      </c>
      <c r="O492" s="19">
        <f t="shared" si="31"/>
        <v>43793.25</v>
      </c>
      <c r="P492" t="b">
        <v>0</v>
      </c>
      <c r="Q492" t="b">
        <v>0</v>
      </c>
      <c r="R492" t="s">
        <v>1029</v>
      </c>
      <c r="S492" t="s">
        <v>2062</v>
      </c>
      <c r="T492" t="s">
        <v>2063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>
        <f t="shared" si="28"/>
        <v>305</v>
      </c>
      <c r="G493" s="5" t="s">
        <v>20</v>
      </c>
      <c r="H493">
        <v>2443</v>
      </c>
      <c r="I493">
        <f t="shared" si="29"/>
        <v>70.989999999999995</v>
      </c>
      <c r="J493" t="s">
        <v>21</v>
      </c>
      <c r="K493" t="s">
        <v>22</v>
      </c>
      <c r="L493">
        <v>1372654800</v>
      </c>
      <c r="M493">
        <v>1374901200</v>
      </c>
      <c r="N493" s="19">
        <f t="shared" si="30"/>
        <v>41456.208333333336</v>
      </c>
      <c r="O493" s="19">
        <f t="shared" si="31"/>
        <v>41482.208333333336</v>
      </c>
      <c r="P493" t="b">
        <v>0</v>
      </c>
      <c r="Q493" t="b">
        <v>1</v>
      </c>
      <c r="R493" t="s">
        <v>17</v>
      </c>
      <c r="S493" t="s">
        <v>2031</v>
      </c>
      <c r="T493" t="s">
        <v>2032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>
        <f t="shared" si="28"/>
        <v>24</v>
      </c>
      <c r="G494" s="7" t="s">
        <v>74</v>
      </c>
      <c r="H494">
        <v>595</v>
      </c>
      <c r="I494">
        <f t="shared" si="29"/>
        <v>77.03</v>
      </c>
      <c r="J494" t="s">
        <v>21</v>
      </c>
      <c r="K494" t="s">
        <v>22</v>
      </c>
      <c r="L494">
        <v>1275886800</v>
      </c>
      <c r="M494">
        <v>1278910800</v>
      </c>
      <c r="N494" s="19">
        <f t="shared" si="30"/>
        <v>40336.208333333336</v>
      </c>
      <c r="O494" s="19">
        <f t="shared" si="31"/>
        <v>40371.208333333336</v>
      </c>
      <c r="P494" t="b">
        <v>1</v>
      </c>
      <c r="Q494" t="b">
        <v>1</v>
      </c>
      <c r="R494" t="s">
        <v>100</v>
      </c>
      <c r="S494" t="s">
        <v>2039</v>
      </c>
      <c r="T494" t="s">
        <v>2050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>
        <f t="shared" si="28"/>
        <v>724</v>
      </c>
      <c r="G495" s="5" t="s">
        <v>20</v>
      </c>
      <c r="H495">
        <v>64</v>
      </c>
      <c r="I495">
        <f t="shared" si="29"/>
        <v>101.78</v>
      </c>
      <c r="J495" t="s">
        <v>21</v>
      </c>
      <c r="K495" t="s">
        <v>22</v>
      </c>
      <c r="L495">
        <v>1561784400</v>
      </c>
      <c r="M495">
        <v>1562907600</v>
      </c>
      <c r="N495" s="19">
        <f t="shared" si="30"/>
        <v>43645.208333333328</v>
      </c>
      <c r="O495" s="19">
        <f t="shared" si="31"/>
        <v>43658.208333333328</v>
      </c>
      <c r="P495" t="b">
        <v>0</v>
      </c>
      <c r="Q495" t="b">
        <v>0</v>
      </c>
      <c r="R495" t="s">
        <v>122</v>
      </c>
      <c r="S495" t="s">
        <v>2052</v>
      </c>
      <c r="T495" t="s">
        <v>2053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>
        <f t="shared" si="28"/>
        <v>547</v>
      </c>
      <c r="G496" s="5" t="s">
        <v>20</v>
      </c>
      <c r="H496">
        <v>268</v>
      </c>
      <c r="I496">
        <f t="shared" si="29"/>
        <v>51.06</v>
      </c>
      <c r="J496" t="s">
        <v>21</v>
      </c>
      <c r="K496" t="s">
        <v>22</v>
      </c>
      <c r="L496">
        <v>1332392400</v>
      </c>
      <c r="M496">
        <v>1332478800</v>
      </c>
      <c r="N496" s="19">
        <f t="shared" si="30"/>
        <v>40990.208333333336</v>
      </c>
      <c r="O496" s="19">
        <f t="shared" si="31"/>
        <v>40991.208333333336</v>
      </c>
      <c r="P496" t="b">
        <v>0</v>
      </c>
      <c r="Q496" t="b">
        <v>0</v>
      </c>
      <c r="R496" t="s">
        <v>65</v>
      </c>
      <c r="S496" t="s">
        <v>2035</v>
      </c>
      <c r="T496" t="s">
        <v>2044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>
        <f t="shared" si="28"/>
        <v>415</v>
      </c>
      <c r="G497" s="5" t="s">
        <v>20</v>
      </c>
      <c r="H497">
        <v>195</v>
      </c>
      <c r="I497">
        <f t="shared" si="29"/>
        <v>68.02</v>
      </c>
      <c r="J497" t="s">
        <v>36</v>
      </c>
      <c r="K497" t="s">
        <v>37</v>
      </c>
      <c r="L497">
        <v>1402376400</v>
      </c>
      <c r="M497">
        <v>1402722000</v>
      </c>
      <c r="N497" s="19">
        <f t="shared" si="30"/>
        <v>41800.208333333336</v>
      </c>
      <c r="O497" s="19">
        <f t="shared" si="31"/>
        <v>41804.208333333336</v>
      </c>
      <c r="P497" t="b">
        <v>0</v>
      </c>
      <c r="Q497" t="b">
        <v>0</v>
      </c>
      <c r="R497" t="s">
        <v>33</v>
      </c>
      <c r="S497" t="s">
        <v>2037</v>
      </c>
      <c r="T497" t="s">
        <v>2038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>
        <f t="shared" si="28"/>
        <v>1</v>
      </c>
      <c r="G498" s="4" t="s">
        <v>14</v>
      </c>
      <c r="H498">
        <v>54</v>
      </c>
      <c r="I498">
        <f t="shared" si="29"/>
        <v>30.87</v>
      </c>
      <c r="J498" t="s">
        <v>21</v>
      </c>
      <c r="K498" t="s">
        <v>22</v>
      </c>
      <c r="L498">
        <v>1495342800</v>
      </c>
      <c r="M498">
        <v>1496811600</v>
      </c>
      <c r="N498" s="19">
        <f t="shared" si="30"/>
        <v>42876.208333333328</v>
      </c>
      <c r="O498" s="19">
        <f t="shared" si="31"/>
        <v>42893.208333333328</v>
      </c>
      <c r="P498" t="b">
        <v>0</v>
      </c>
      <c r="Q498" t="b">
        <v>0</v>
      </c>
      <c r="R498" t="s">
        <v>71</v>
      </c>
      <c r="S498" t="s">
        <v>2039</v>
      </c>
      <c r="T498" t="s">
        <v>2047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>
        <f t="shared" si="28"/>
        <v>34</v>
      </c>
      <c r="G499" s="4" t="s">
        <v>14</v>
      </c>
      <c r="H499">
        <v>120</v>
      </c>
      <c r="I499">
        <f t="shared" si="29"/>
        <v>27.91</v>
      </c>
      <c r="J499" t="s">
        <v>21</v>
      </c>
      <c r="K499" t="s">
        <v>22</v>
      </c>
      <c r="L499">
        <v>1482213600</v>
      </c>
      <c r="M499">
        <v>1482213600</v>
      </c>
      <c r="N499" s="19">
        <f t="shared" si="30"/>
        <v>42724.25</v>
      </c>
      <c r="O499" s="19">
        <f t="shared" si="31"/>
        <v>42724.25</v>
      </c>
      <c r="P499" t="b">
        <v>0</v>
      </c>
      <c r="Q499" t="b">
        <v>1</v>
      </c>
      <c r="R499" t="s">
        <v>65</v>
      </c>
      <c r="S499" t="s">
        <v>2035</v>
      </c>
      <c r="T499" t="s">
        <v>2044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>
        <f t="shared" si="28"/>
        <v>24</v>
      </c>
      <c r="G500" s="4" t="s">
        <v>14</v>
      </c>
      <c r="H500">
        <v>579</v>
      </c>
      <c r="I500">
        <f t="shared" si="29"/>
        <v>79.989999999999995</v>
      </c>
      <c r="J500" t="s">
        <v>36</v>
      </c>
      <c r="K500" t="s">
        <v>37</v>
      </c>
      <c r="L500">
        <v>1420092000</v>
      </c>
      <c r="M500">
        <v>1420264800</v>
      </c>
      <c r="N500" s="19">
        <f t="shared" si="30"/>
        <v>42005.25</v>
      </c>
      <c r="O500" s="19">
        <f t="shared" si="31"/>
        <v>42007.25</v>
      </c>
      <c r="P500" t="b">
        <v>0</v>
      </c>
      <c r="Q500" t="b">
        <v>0</v>
      </c>
      <c r="R500" t="s">
        <v>28</v>
      </c>
      <c r="S500" t="s">
        <v>2035</v>
      </c>
      <c r="T500" t="s">
        <v>2036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>
        <f t="shared" si="28"/>
        <v>48</v>
      </c>
      <c r="G501" s="4" t="s">
        <v>14</v>
      </c>
      <c r="H501">
        <v>2072</v>
      </c>
      <c r="I501">
        <f t="shared" si="29"/>
        <v>38</v>
      </c>
      <c r="J501" t="s">
        <v>21</v>
      </c>
      <c r="K501" t="s">
        <v>22</v>
      </c>
      <c r="L501">
        <v>1458018000</v>
      </c>
      <c r="M501">
        <v>1458450000</v>
      </c>
      <c r="N501" s="19">
        <f t="shared" si="30"/>
        <v>42444.208333333328</v>
      </c>
      <c r="O501" s="19">
        <f t="shared" si="31"/>
        <v>42449.208333333328</v>
      </c>
      <c r="P501" t="b">
        <v>0</v>
      </c>
      <c r="Q501" t="b">
        <v>1</v>
      </c>
      <c r="R501" t="s">
        <v>42</v>
      </c>
      <c r="S501" t="s">
        <v>2039</v>
      </c>
      <c r="T501" t="s">
        <v>2040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>
        <f t="shared" si="28"/>
        <v>0</v>
      </c>
      <c r="G502" s="4" t="s">
        <v>14</v>
      </c>
      <c r="H502">
        <v>0</v>
      </c>
      <c r="I502" t="e">
        <f t="shared" si="29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9">
        <f t="shared" si="30"/>
        <v>41395.208333333336</v>
      </c>
      <c r="O502" s="19">
        <f t="shared" si="31"/>
        <v>41423.208333333336</v>
      </c>
      <c r="P502" t="b">
        <v>0</v>
      </c>
      <c r="Q502" t="b">
        <v>1</v>
      </c>
      <c r="R502" t="s">
        <v>33</v>
      </c>
      <c r="S502" t="s">
        <v>2037</v>
      </c>
      <c r="T502" t="s">
        <v>2038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>
        <f t="shared" si="28"/>
        <v>70</v>
      </c>
      <c r="G503" s="4" t="s">
        <v>14</v>
      </c>
      <c r="H503">
        <v>1796</v>
      </c>
      <c r="I503">
        <f t="shared" si="29"/>
        <v>59.99</v>
      </c>
      <c r="J503" t="s">
        <v>21</v>
      </c>
      <c r="K503" t="s">
        <v>22</v>
      </c>
      <c r="L503">
        <v>1363064400</v>
      </c>
      <c r="M503">
        <v>1363237200</v>
      </c>
      <c r="N503" s="19">
        <f t="shared" si="30"/>
        <v>41345.208333333336</v>
      </c>
      <c r="O503" s="19">
        <f t="shared" si="31"/>
        <v>41347.208333333336</v>
      </c>
      <c r="P503" t="b">
        <v>0</v>
      </c>
      <c r="Q503" t="b">
        <v>0</v>
      </c>
      <c r="R503" t="s">
        <v>42</v>
      </c>
      <c r="S503" t="s">
        <v>2039</v>
      </c>
      <c r="T503" t="s">
        <v>2040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>
        <f t="shared" si="28"/>
        <v>530</v>
      </c>
      <c r="G504" s="5" t="s">
        <v>20</v>
      </c>
      <c r="H504">
        <v>186</v>
      </c>
      <c r="I504">
        <f t="shared" si="29"/>
        <v>37.04</v>
      </c>
      <c r="J504" t="s">
        <v>26</v>
      </c>
      <c r="K504" t="s">
        <v>27</v>
      </c>
      <c r="L504">
        <v>1343365200</v>
      </c>
      <c r="M504">
        <v>1345870800</v>
      </c>
      <c r="N504" s="19">
        <f t="shared" si="30"/>
        <v>41117.208333333336</v>
      </c>
      <c r="O504" s="19">
        <f t="shared" si="31"/>
        <v>41146.208333333336</v>
      </c>
      <c r="P504" t="b">
        <v>0</v>
      </c>
      <c r="Q504" t="b">
        <v>1</v>
      </c>
      <c r="R504" t="s">
        <v>89</v>
      </c>
      <c r="S504" t="s">
        <v>2048</v>
      </c>
      <c r="T504" t="s">
        <v>2049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>
        <f t="shared" si="28"/>
        <v>180</v>
      </c>
      <c r="G505" s="5" t="s">
        <v>20</v>
      </c>
      <c r="H505">
        <v>460</v>
      </c>
      <c r="I505">
        <f t="shared" si="29"/>
        <v>99.96</v>
      </c>
      <c r="J505" t="s">
        <v>21</v>
      </c>
      <c r="K505" t="s">
        <v>22</v>
      </c>
      <c r="L505">
        <v>1435726800</v>
      </c>
      <c r="M505">
        <v>1437454800</v>
      </c>
      <c r="N505" s="19">
        <f t="shared" si="30"/>
        <v>42186.208333333328</v>
      </c>
      <c r="O505" s="19">
        <f t="shared" si="31"/>
        <v>42206.208333333328</v>
      </c>
      <c r="P505" t="b">
        <v>0</v>
      </c>
      <c r="Q505" t="b">
        <v>0</v>
      </c>
      <c r="R505" t="s">
        <v>53</v>
      </c>
      <c r="S505" t="s">
        <v>2039</v>
      </c>
      <c r="T505" t="s">
        <v>2042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>
        <f t="shared" si="28"/>
        <v>92</v>
      </c>
      <c r="G506" s="4" t="s">
        <v>14</v>
      </c>
      <c r="H506">
        <v>62</v>
      </c>
      <c r="I506">
        <f t="shared" si="29"/>
        <v>111.68</v>
      </c>
      <c r="J506" t="s">
        <v>107</v>
      </c>
      <c r="K506" t="s">
        <v>108</v>
      </c>
      <c r="L506">
        <v>1431925200</v>
      </c>
      <c r="M506">
        <v>1432011600</v>
      </c>
      <c r="N506" s="19">
        <f t="shared" si="30"/>
        <v>42142.208333333328</v>
      </c>
      <c r="O506" s="19">
        <f t="shared" si="31"/>
        <v>42143.208333333328</v>
      </c>
      <c r="P506" t="b">
        <v>0</v>
      </c>
      <c r="Q506" t="b">
        <v>0</v>
      </c>
      <c r="R506" t="s">
        <v>23</v>
      </c>
      <c r="S506" t="s">
        <v>2033</v>
      </c>
      <c r="T506" t="s">
        <v>2034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>
        <f t="shared" si="28"/>
        <v>14</v>
      </c>
      <c r="G507" s="4" t="s">
        <v>14</v>
      </c>
      <c r="H507">
        <v>347</v>
      </c>
      <c r="I507">
        <f t="shared" si="29"/>
        <v>36.01</v>
      </c>
      <c r="J507" t="s">
        <v>21</v>
      </c>
      <c r="K507" t="s">
        <v>22</v>
      </c>
      <c r="L507">
        <v>1362722400</v>
      </c>
      <c r="M507">
        <v>1366347600</v>
      </c>
      <c r="N507" s="19">
        <f t="shared" si="30"/>
        <v>41341.25</v>
      </c>
      <c r="O507" s="19">
        <f t="shared" si="31"/>
        <v>41383.208333333336</v>
      </c>
      <c r="P507" t="b">
        <v>0</v>
      </c>
      <c r="Q507" t="b">
        <v>1</v>
      </c>
      <c r="R507" t="s">
        <v>133</v>
      </c>
      <c r="S507" t="s">
        <v>2045</v>
      </c>
      <c r="T507" t="s">
        <v>2054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>
        <f t="shared" si="28"/>
        <v>927</v>
      </c>
      <c r="G508" s="5" t="s">
        <v>20</v>
      </c>
      <c r="H508">
        <v>2528</v>
      </c>
      <c r="I508">
        <f t="shared" si="29"/>
        <v>66.010000000000005</v>
      </c>
      <c r="J508" t="s">
        <v>21</v>
      </c>
      <c r="K508" t="s">
        <v>22</v>
      </c>
      <c r="L508">
        <v>1511416800</v>
      </c>
      <c r="M508">
        <v>1512885600</v>
      </c>
      <c r="N508" s="19">
        <f t="shared" si="30"/>
        <v>43062.25</v>
      </c>
      <c r="O508" s="19">
        <f t="shared" si="31"/>
        <v>43079.25</v>
      </c>
      <c r="P508" t="b">
        <v>0</v>
      </c>
      <c r="Q508" t="b">
        <v>1</v>
      </c>
      <c r="R508" t="s">
        <v>33</v>
      </c>
      <c r="S508" t="s">
        <v>2037</v>
      </c>
      <c r="T508" t="s">
        <v>2038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>
        <f t="shared" si="28"/>
        <v>40</v>
      </c>
      <c r="G509" s="4" t="s">
        <v>14</v>
      </c>
      <c r="H509">
        <v>19</v>
      </c>
      <c r="I509">
        <f t="shared" si="29"/>
        <v>44.05</v>
      </c>
      <c r="J509" t="s">
        <v>21</v>
      </c>
      <c r="K509" t="s">
        <v>22</v>
      </c>
      <c r="L509">
        <v>1365483600</v>
      </c>
      <c r="M509">
        <v>1369717200</v>
      </c>
      <c r="N509" s="19">
        <f t="shared" si="30"/>
        <v>41373.208333333336</v>
      </c>
      <c r="O509" s="19">
        <f t="shared" si="31"/>
        <v>41422.208333333336</v>
      </c>
      <c r="P509" t="b">
        <v>0</v>
      </c>
      <c r="Q509" t="b">
        <v>1</v>
      </c>
      <c r="R509" t="s">
        <v>28</v>
      </c>
      <c r="S509" t="s">
        <v>2035</v>
      </c>
      <c r="T509" t="s">
        <v>2036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>
        <f t="shared" si="28"/>
        <v>112</v>
      </c>
      <c r="G510" s="5" t="s">
        <v>20</v>
      </c>
      <c r="H510">
        <v>3657</v>
      </c>
      <c r="I510">
        <f t="shared" si="29"/>
        <v>53</v>
      </c>
      <c r="J510" t="s">
        <v>21</v>
      </c>
      <c r="K510" t="s">
        <v>22</v>
      </c>
      <c r="L510">
        <v>1532840400</v>
      </c>
      <c r="M510">
        <v>1534654800</v>
      </c>
      <c r="N510" s="19">
        <f t="shared" si="30"/>
        <v>43310.208333333328</v>
      </c>
      <c r="O510" s="19">
        <f t="shared" si="31"/>
        <v>43331.208333333328</v>
      </c>
      <c r="P510" t="b">
        <v>0</v>
      </c>
      <c r="Q510" t="b">
        <v>0</v>
      </c>
      <c r="R510" t="s">
        <v>33</v>
      </c>
      <c r="S510" t="s">
        <v>2037</v>
      </c>
      <c r="T510" t="s">
        <v>2038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>
        <f t="shared" si="28"/>
        <v>71</v>
      </c>
      <c r="G511" s="4" t="s">
        <v>14</v>
      </c>
      <c r="H511">
        <v>1258</v>
      </c>
      <c r="I511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s="19">
        <f t="shared" si="30"/>
        <v>41034.208333333336</v>
      </c>
      <c r="O511" s="19">
        <f t="shared" si="31"/>
        <v>41044.208333333336</v>
      </c>
      <c r="P511" t="b">
        <v>0</v>
      </c>
      <c r="Q511" t="b">
        <v>0</v>
      </c>
      <c r="R511" t="s">
        <v>33</v>
      </c>
      <c r="S511" t="s">
        <v>2037</v>
      </c>
      <c r="T511" t="s">
        <v>2038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>
        <f t="shared" si="28"/>
        <v>119</v>
      </c>
      <c r="G512" s="5" t="s">
        <v>20</v>
      </c>
      <c r="H512">
        <v>131</v>
      </c>
      <c r="I512">
        <f t="shared" si="29"/>
        <v>70.91</v>
      </c>
      <c r="J512" t="s">
        <v>26</v>
      </c>
      <c r="K512" t="s">
        <v>27</v>
      </c>
      <c r="L512">
        <v>1527742800</v>
      </c>
      <c r="M512">
        <v>1529816400</v>
      </c>
      <c r="N512" s="19">
        <f t="shared" si="30"/>
        <v>43251.208333333328</v>
      </c>
      <c r="O512" s="19">
        <f t="shared" si="31"/>
        <v>43275.208333333328</v>
      </c>
      <c r="P512" t="b">
        <v>0</v>
      </c>
      <c r="Q512" t="b">
        <v>0</v>
      </c>
      <c r="R512" t="s">
        <v>53</v>
      </c>
      <c r="S512" t="s">
        <v>2039</v>
      </c>
      <c r="T512" t="s">
        <v>2042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>
        <f t="shared" si="28"/>
        <v>24</v>
      </c>
      <c r="G513" s="4" t="s">
        <v>14</v>
      </c>
      <c r="H513">
        <v>362</v>
      </c>
      <c r="I513">
        <f t="shared" si="29"/>
        <v>98.06</v>
      </c>
      <c r="J513" t="s">
        <v>21</v>
      </c>
      <c r="K513" t="s">
        <v>22</v>
      </c>
      <c r="L513">
        <v>1564030800</v>
      </c>
      <c r="M513">
        <v>1564894800</v>
      </c>
      <c r="N513" s="19">
        <f t="shared" si="30"/>
        <v>43671.208333333328</v>
      </c>
      <c r="O513" s="19">
        <f t="shared" si="31"/>
        <v>43681.208333333328</v>
      </c>
      <c r="P513" t="b">
        <v>0</v>
      </c>
      <c r="Q513" t="b">
        <v>0</v>
      </c>
      <c r="R513" t="s">
        <v>33</v>
      </c>
      <c r="S513" t="s">
        <v>2037</v>
      </c>
      <c r="T513" t="s">
        <v>2038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>
        <f t="shared" si="28"/>
        <v>139</v>
      </c>
      <c r="G514" s="5" t="s">
        <v>20</v>
      </c>
      <c r="H514">
        <v>239</v>
      </c>
      <c r="I514">
        <f t="shared" si="29"/>
        <v>53.05</v>
      </c>
      <c r="J514" t="s">
        <v>21</v>
      </c>
      <c r="K514" t="s">
        <v>22</v>
      </c>
      <c r="L514">
        <v>1404536400</v>
      </c>
      <c r="M514">
        <v>1404622800</v>
      </c>
      <c r="N514" s="19">
        <f t="shared" si="30"/>
        <v>41825.208333333336</v>
      </c>
      <c r="O514" s="19">
        <f t="shared" si="31"/>
        <v>41826.208333333336</v>
      </c>
      <c r="P514" t="b">
        <v>0</v>
      </c>
      <c r="Q514" t="b">
        <v>1</v>
      </c>
      <c r="R514" t="s">
        <v>89</v>
      </c>
      <c r="S514" t="s">
        <v>2048</v>
      </c>
      <c r="T514" t="s">
        <v>2049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>
        <f t="shared" ref="F515:F578" si="32">ROUND(E515/D515*100,0)</f>
        <v>39</v>
      </c>
      <c r="G515" s="7" t="s">
        <v>74</v>
      </c>
      <c r="H515">
        <v>35</v>
      </c>
      <c r="I515">
        <f t="shared" ref="I515:I578" si="33">ROUND(E515/H515,2)</f>
        <v>93.14</v>
      </c>
      <c r="J515" t="s">
        <v>21</v>
      </c>
      <c r="K515" t="s">
        <v>22</v>
      </c>
      <c r="L515">
        <v>1284008400</v>
      </c>
      <c r="M515">
        <v>1284181200</v>
      </c>
      <c r="N515" s="19">
        <f t="shared" ref="N515:N578" si="34">(((L515/60)/60)/24)+DATE(1970,1,1)</f>
        <v>40430.208333333336</v>
      </c>
      <c r="O515" s="19">
        <f t="shared" ref="O515:O578" si="35">(((M515/60)/60)/24)+DATE(1970,1,1)</f>
        <v>40432.208333333336</v>
      </c>
      <c r="P515" t="b">
        <v>0</v>
      </c>
      <c r="Q515" t="b">
        <v>0</v>
      </c>
      <c r="R515" t="s">
        <v>269</v>
      </c>
      <c r="S515" t="s">
        <v>2039</v>
      </c>
      <c r="T515" t="s">
        <v>2058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>
        <f t="shared" si="32"/>
        <v>22</v>
      </c>
      <c r="G516" s="7" t="s">
        <v>74</v>
      </c>
      <c r="H516">
        <v>528</v>
      </c>
      <c r="I516">
        <f t="shared" si="33"/>
        <v>58.95</v>
      </c>
      <c r="J516" t="s">
        <v>98</v>
      </c>
      <c r="K516" t="s">
        <v>99</v>
      </c>
      <c r="L516">
        <v>1386309600</v>
      </c>
      <c r="M516">
        <v>1386741600</v>
      </c>
      <c r="N516" s="19">
        <f t="shared" si="34"/>
        <v>41614.25</v>
      </c>
      <c r="O516" s="19">
        <f t="shared" si="35"/>
        <v>41619.25</v>
      </c>
      <c r="P516" t="b">
        <v>0</v>
      </c>
      <c r="Q516" t="b">
        <v>1</v>
      </c>
      <c r="R516" t="s">
        <v>23</v>
      </c>
      <c r="S516" t="s">
        <v>2033</v>
      </c>
      <c r="T516" t="s">
        <v>2034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>
        <f t="shared" si="32"/>
        <v>56</v>
      </c>
      <c r="G517" s="4" t="s">
        <v>14</v>
      </c>
      <c r="H517">
        <v>133</v>
      </c>
      <c r="I517">
        <f t="shared" si="33"/>
        <v>36.07</v>
      </c>
      <c r="J517" t="s">
        <v>15</v>
      </c>
      <c r="K517" t="s">
        <v>16</v>
      </c>
      <c r="L517">
        <v>1324620000</v>
      </c>
      <c r="M517">
        <v>1324792800</v>
      </c>
      <c r="N517" s="19">
        <f t="shared" si="34"/>
        <v>40900.25</v>
      </c>
      <c r="O517" s="19">
        <f t="shared" si="35"/>
        <v>40902.25</v>
      </c>
      <c r="P517" t="b">
        <v>0</v>
      </c>
      <c r="Q517" t="b">
        <v>1</v>
      </c>
      <c r="R517" t="s">
        <v>33</v>
      </c>
      <c r="S517" t="s">
        <v>2037</v>
      </c>
      <c r="T517" t="s">
        <v>2038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>
        <f t="shared" si="32"/>
        <v>43</v>
      </c>
      <c r="G518" s="4" t="s">
        <v>14</v>
      </c>
      <c r="H518">
        <v>846</v>
      </c>
      <c r="I518">
        <f t="shared" si="33"/>
        <v>63.03</v>
      </c>
      <c r="J518" t="s">
        <v>21</v>
      </c>
      <c r="K518" t="s">
        <v>22</v>
      </c>
      <c r="L518">
        <v>1281070800</v>
      </c>
      <c r="M518">
        <v>1284354000</v>
      </c>
      <c r="N518" s="19">
        <f t="shared" si="34"/>
        <v>40396.208333333336</v>
      </c>
      <c r="O518" s="19">
        <f t="shared" si="35"/>
        <v>40434.208333333336</v>
      </c>
      <c r="P518" t="b">
        <v>0</v>
      </c>
      <c r="Q518" t="b">
        <v>0</v>
      </c>
      <c r="R518" t="s">
        <v>68</v>
      </c>
      <c r="S518" t="s">
        <v>2045</v>
      </c>
      <c r="T518" t="s">
        <v>2046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>
        <f t="shared" si="32"/>
        <v>112</v>
      </c>
      <c r="G519" s="5" t="s">
        <v>20</v>
      </c>
      <c r="H519">
        <v>78</v>
      </c>
      <c r="I519">
        <f t="shared" si="33"/>
        <v>84.72</v>
      </c>
      <c r="J519" t="s">
        <v>21</v>
      </c>
      <c r="K519" t="s">
        <v>22</v>
      </c>
      <c r="L519">
        <v>1493960400</v>
      </c>
      <c r="M519">
        <v>1494392400</v>
      </c>
      <c r="N519" s="19">
        <f t="shared" si="34"/>
        <v>42860.208333333328</v>
      </c>
      <c r="O519" s="19">
        <f t="shared" si="35"/>
        <v>42865.208333333328</v>
      </c>
      <c r="P519" t="b">
        <v>0</v>
      </c>
      <c r="Q519" t="b">
        <v>0</v>
      </c>
      <c r="R519" t="s">
        <v>17</v>
      </c>
      <c r="S519" t="s">
        <v>2031</v>
      </c>
      <c r="T519" t="s">
        <v>2032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>
        <f t="shared" si="32"/>
        <v>7</v>
      </c>
      <c r="G520" s="4" t="s">
        <v>14</v>
      </c>
      <c r="H520">
        <v>10</v>
      </c>
      <c r="I520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s="19">
        <f t="shared" si="34"/>
        <v>43154.25</v>
      </c>
      <c r="O520" s="19">
        <f t="shared" si="35"/>
        <v>43156.25</v>
      </c>
      <c r="P520" t="b">
        <v>0</v>
      </c>
      <c r="Q520" t="b">
        <v>1</v>
      </c>
      <c r="R520" t="s">
        <v>71</v>
      </c>
      <c r="S520" t="s">
        <v>2039</v>
      </c>
      <c r="T520" t="s">
        <v>2047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>
        <f t="shared" si="32"/>
        <v>102</v>
      </c>
      <c r="G521" s="5" t="s">
        <v>20</v>
      </c>
      <c r="H521">
        <v>1773</v>
      </c>
      <c r="I521">
        <f t="shared" si="33"/>
        <v>101.98</v>
      </c>
      <c r="J521" t="s">
        <v>21</v>
      </c>
      <c r="K521" t="s">
        <v>22</v>
      </c>
      <c r="L521">
        <v>1420696800</v>
      </c>
      <c r="M521">
        <v>1421906400</v>
      </c>
      <c r="N521" s="19">
        <f t="shared" si="34"/>
        <v>42012.25</v>
      </c>
      <c r="O521" s="19">
        <f t="shared" si="35"/>
        <v>42026.25</v>
      </c>
      <c r="P521" t="b">
        <v>0</v>
      </c>
      <c r="Q521" t="b">
        <v>1</v>
      </c>
      <c r="R521" t="s">
        <v>23</v>
      </c>
      <c r="S521" t="s">
        <v>2033</v>
      </c>
      <c r="T521" t="s">
        <v>2034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>
        <f t="shared" si="32"/>
        <v>426</v>
      </c>
      <c r="G522" s="5" t="s">
        <v>20</v>
      </c>
      <c r="H522">
        <v>32</v>
      </c>
      <c r="I522">
        <f t="shared" si="33"/>
        <v>106.44</v>
      </c>
      <c r="J522" t="s">
        <v>21</v>
      </c>
      <c r="K522" t="s">
        <v>22</v>
      </c>
      <c r="L522">
        <v>1555650000</v>
      </c>
      <c r="M522">
        <v>1555909200</v>
      </c>
      <c r="N522" s="19">
        <f t="shared" si="34"/>
        <v>43574.208333333328</v>
      </c>
      <c r="O522" s="19">
        <f t="shared" si="35"/>
        <v>43577.208333333328</v>
      </c>
      <c r="P522" t="b">
        <v>0</v>
      </c>
      <c r="Q522" t="b">
        <v>0</v>
      </c>
      <c r="R522" t="s">
        <v>33</v>
      </c>
      <c r="S522" t="s">
        <v>2037</v>
      </c>
      <c r="T522" t="s">
        <v>2038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>
        <f t="shared" si="32"/>
        <v>146</v>
      </c>
      <c r="G523" s="5" t="s">
        <v>20</v>
      </c>
      <c r="H523">
        <v>369</v>
      </c>
      <c r="I523">
        <f t="shared" si="33"/>
        <v>29.98</v>
      </c>
      <c r="J523" t="s">
        <v>21</v>
      </c>
      <c r="K523" t="s">
        <v>22</v>
      </c>
      <c r="L523">
        <v>1471928400</v>
      </c>
      <c r="M523">
        <v>1472446800</v>
      </c>
      <c r="N523" s="19">
        <f t="shared" si="34"/>
        <v>42605.208333333328</v>
      </c>
      <c r="O523" s="19">
        <f t="shared" si="35"/>
        <v>42611.208333333328</v>
      </c>
      <c r="P523" t="b">
        <v>0</v>
      </c>
      <c r="Q523" t="b">
        <v>1</v>
      </c>
      <c r="R523" t="s">
        <v>53</v>
      </c>
      <c r="S523" t="s">
        <v>2039</v>
      </c>
      <c r="T523" t="s">
        <v>2042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>
        <f t="shared" si="32"/>
        <v>32</v>
      </c>
      <c r="G524" s="4" t="s">
        <v>14</v>
      </c>
      <c r="H524">
        <v>191</v>
      </c>
      <c r="I524">
        <f t="shared" si="33"/>
        <v>85.81</v>
      </c>
      <c r="J524" t="s">
        <v>21</v>
      </c>
      <c r="K524" t="s">
        <v>22</v>
      </c>
      <c r="L524">
        <v>1341291600</v>
      </c>
      <c r="M524">
        <v>1342328400</v>
      </c>
      <c r="N524" s="19">
        <f t="shared" si="34"/>
        <v>41093.208333333336</v>
      </c>
      <c r="O524" s="19">
        <f t="shared" si="35"/>
        <v>41105.208333333336</v>
      </c>
      <c r="P524" t="b">
        <v>0</v>
      </c>
      <c r="Q524" t="b">
        <v>0</v>
      </c>
      <c r="R524" t="s">
        <v>100</v>
      </c>
      <c r="S524" t="s">
        <v>2039</v>
      </c>
      <c r="T524" t="s">
        <v>2050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>
        <f t="shared" si="32"/>
        <v>700</v>
      </c>
      <c r="G525" s="5" t="s">
        <v>20</v>
      </c>
      <c r="H525">
        <v>89</v>
      </c>
      <c r="I525">
        <f t="shared" si="33"/>
        <v>70.819999999999993</v>
      </c>
      <c r="J525" t="s">
        <v>21</v>
      </c>
      <c r="K525" t="s">
        <v>22</v>
      </c>
      <c r="L525">
        <v>1267682400</v>
      </c>
      <c r="M525">
        <v>1268114400</v>
      </c>
      <c r="N525" s="19">
        <f t="shared" si="34"/>
        <v>40241.25</v>
      </c>
      <c r="O525" s="19">
        <f t="shared" si="35"/>
        <v>40246.25</v>
      </c>
      <c r="P525" t="b">
        <v>0</v>
      </c>
      <c r="Q525" t="b">
        <v>0</v>
      </c>
      <c r="R525" t="s">
        <v>100</v>
      </c>
      <c r="S525" t="s">
        <v>2039</v>
      </c>
      <c r="T525" t="s">
        <v>2050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>
        <f t="shared" si="32"/>
        <v>84</v>
      </c>
      <c r="G526" s="4" t="s">
        <v>14</v>
      </c>
      <c r="H526">
        <v>1979</v>
      </c>
      <c r="I526">
        <f t="shared" si="33"/>
        <v>41</v>
      </c>
      <c r="J526" t="s">
        <v>21</v>
      </c>
      <c r="K526" t="s">
        <v>22</v>
      </c>
      <c r="L526">
        <v>1272258000</v>
      </c>
      <c r="M526">
        <v>1273381200</v>
      </c>
      <c r="N526" s="19">
        <f t="shared" si="34"/>
        <v>40294.208333333336</v>
      </c>
      <c r="O526" s="19">
        <f t="shared" si="35"/>
        <v>40307.208333333336</v>
      </c>
      <c r="P526" t="b">
        <v>0</v>
      </c>
      <c r="Q526" t="b">
        <v>0</v>
      </c>
      <c r="R526" t="s">
        <v>33</v>
      </c>
      <c r="S526" t="s">
        <v>2037</v>
      </c>
      <c r="T526" t="s">
        <v>2038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>
        <f t="shared" si="32"/>
        <v>84</v>
      </c>
      <c r="G527" s="4" t="s">
        <v>14</v>
      </c>
      <c r="H527">
        <v>63</v>
      </c>
      <c r="I527">
        <f t="shared" si="33"/>
        <v>28.06</v>
      </c>
      <c r="J527" t="s">
        <v>21</v>
      </c>
      <c r="K527" t="s">
        <v>22</v>
      </c>
      <c r="L527">
        <v>1290492000</v>
      </c>
      <c r="M527">
        <v>1290837600</v>
      </c>
      <c r="N527" s="19">
        <f t="shared" si="34"/>
        <v>40505.25</v>
      </c>
      <c r="O527" s="19">
        <f t="shared" si="35"/>
        <v>40509.25</v>
      </c>
      <c r="P527" t="b">
        <v>0</v>
      </c>
      <c r="Q527" t="b">
        <v>0</v>
      </c>
      <c r="R527" t="s">
        <v>65</v>
      </c>
      <c r="S527" t="s">
        <v>2035</v>
      </c>
      <c r="T527" t="s">
        <v>2044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>
        <f t="shared" si="32"/>
        <v>156</v>
      </c>
      <c r="G528" s="5" t="s">
        <v>20</v>
      </c>
      <c r="H528">
        <v>147</v>
      </c>
      <c r="I528">
        <f t="shared" si="33"/>
        <v>88.05</v>
      </c>
      <c r="J528" t="s">
        <v>21</v>
      </c>
      <c r="K528" t="s">
        <v>22</v>
      </c>
      <c r="L528">
        <v>1451109600</v>
      </c>
      <c r="M528">
        <v>1454306400</v>
      </c>
      <c r="N528" s="19">
        <f t="shared" si="34"/>
        <v>42364.25</v>
      </c>
      <c r="O528" s="19">
        <f t="shared" si="35"/>
        <v>42401.25</v>
      </c>
      <c r="P528" t="b">
        <v>0</v>
      </c>
      <c r="Q528" t="b">
        <v>1</v>
      </c>
      <c r="R528" t="s">
        <v>33</v>
      </c>
      <c r="S528" t="s">
        <v>2037</v>
      </c>
      <c r="T528" t="s">
        <v>2038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>
        <f t="shared" si="32"/>
        <v>100</v>
      </c>
      <c r="G529" s="4" t="s">
        <v>14</v>
      </c>
      <c r="H529">
        <v>6080</v>
      </c>
      <c r="I529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s="19">
        <f t="shared" si="34"/>
        <v>42405.25</v>
      </c>
      <c r="O529" s="19">
        <f t="shared" si="35"/>
        <v>42441.25</v>
      </c>
      <c r="P529" t="b">
        <v>0</v>
      </c>
      <c r="Q529" t="b">
        <v>0</v>
      </c>
      <c r="R529" t="s">
        <v>71</v>
      </c>
      <c r="S529" t="s">
        <v>2039</v>
      </c>
      <c r="T529" t="s">
        <v>2047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>
        <f t="shared" si="32"/>
        <v>80</v>
      </c>
      <c r="G530" s="4" t="s">
        <v>14</v>
      </c>
      <c r="H530">
        <v>80</v>
      </c>
      <c r="I530">
        <f t="shared" si="33"/>
        <v>90.34</v>
      </c>
      <c r="J530" t="s">
        <v>40</v>
      </c>
      <c r="K530" t="s">
        <v>41</v>
      </c>
      <c r="L530">
        <v>1385186400</v>
      </c>
      <c r="M530">
        <v>1389074400</v>
      </c>
      <c r="N530" s="19">
        <f t="shared" si="34"/>
        <v>41601.25</v>
      </c>
      <c r="O530" s="19">
        <f t="shared" si="35"/>
        <v>41646.25</v>
      </c>
      <c r="P530" t="b">
        <v>0</v>
      </c>
      <c r="Q530" t="b">
        <v>0</v>
      </c>
      <c r="R530" t="s">
        <v>60</v>
      </c>
      <c r="S530" t="s">
        <v>2033</v>
      </c>
      <c r="T530" t="s">
        <v>2043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>
        <f t="shared" si="32"/>
        <v>11</v>
      </c>
      <c r="G531" s="4" t="s">
        <v>14</v>
      </c>
      <c r="H531">
        <v>9</v>
      </c>
      <c r="I531">
        <f t="shared" si="33"/>
        <v>63.78</v>
      </c>
      <c r="J531" t="s">
        <v>21</v>
      </c>
      <c r="K531" t="s">
        <v>22</v>
      </c>
      <c r="L531">
        <v>1399698000</v>
      </c>
      <c r="M531">
        <v>1402117200</v>
      </c>
      <c r="N531" s="19">
        <f t="shared" si="34"/>
        <v>41769.208333333336</v>
      </c>
      <c r="O531" s="19">
        <f t="shared" si="35"/>
        <v>41797.208333333336</v>
      </c>
      <c r="P531" t="b">
        <v>0</v>
      </c>
      <c r="Q531" t="b">
        <v>0</v>
      </c>
      <c r="R531" t="s">
        <v>89</v>
      </c>
      <c r="S531" t="s">
        <v>2048</v>
      </c>
      <c r="T531" t="s">
        <v>2049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>
        <f t="shared" si="32"/>
        <v>92</v>
      </c>
      <c r="G532" s="4" t="s">
        <v>14</v>
      </c>
      <c r="H532">
        <v>1784</v>
      </c>
      <c r="I532">
        <f t="shared" si="33"/>
        <v>54</v>
      </c>
      <c r="J532" t="s">
        <v>21</v>
      </c>
      <c r="K532" t="s">
        <v>22</v>
      </c>
      <c r="L532">
        <v>1283230800</v>
      </c>
      <c r="M532">
        <v>1284440400</v>
      </c>
      <c r="N532" s="19">
        <f t="shared" si="34"/>
        <v>40421.208333333336</v>
      </c>
      <c r="O532" s="19">
        <f t="shared" si="35"/>
        <v>40435.208333333336</v>
      </c>
      <c r="P532" t="b">
        <v>0</v>
      </c>
      <c r="Q532" t="b">
        <v>1</v>
      </c>
      <c r="R532" t="s">
        <v>119</v>
      </c>
      <c r="S532" t="s">
        <v>2045</v>
      </c>
      <c r="T532" t="s">
        <v>2051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>
        <f t="shared" si="32"/>
        <v>96</v>
      </c>
      <c r="G533" s="6" t="s">
        <v>47</v>
      </c>
      <c r="H533">
        <v>3640</v>
      </c>
      <c r="I533">
        <f t="shared" si="33"/>
        <v>48.99</v>
      </c>
      <c r="J533" t="s">
        <v>98</v>
      </c>
      <c r="K533" t="s">
        <v>99</v>
      </c>
      <c r="L533">
        <v>1384149600</v>
      </c>
      <c r="M533">
        <v>1388988000</v>
      </c>
      <c r="N533" s="19">
        <f t="shared" si="34"/>
        <v>41589.25</v>
      </c>
      <c r="O533" s="19">
        <f t="shared" si="35"/>
        <v>41645.25</v>
      </c>
      <c r="P533" t="b">
        <v>0</v>
      </c>
      <c r="Q533" t="b">
        <v>0</v>
      </c>
      <c r="R533" t="s">
        <v>89</v>
      </c>
      <c r="S533" t="s">
        <v>2048</v>
      </c>
      <c r="T533" t="s">
        <v>2049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>
        <f t="shared" si="32"/>
        <v>503</v>
      </c>
      <c r="G534" s="5" t="s">
        <v>20</v>
      </c>
      <c r="H534">
        <v>126</v>
      </c>
      <c r="I534">
        <f t="shared" si="33"/>
        <v>63.86</v>
      </c>
      <c r="J534" t="s">
        <v>15</v>
      </c>
      <c r="K534" t="s">
        <v>16</v>
      </c>
      <c r="L534">
        <v>1516860000</v>
      </c>
      <c r="M534">
        <v>1516946400</v>
      </c>
      <c r="N534" s="19">
        <f t="shared" si="34"/>
        <v>43125.25</v>
      </c>
      <c r="O534" s="19">
        <f t="shared" si="35"/>
        <v>43126.25</v>
      </c>
      <c r="P534" t="b">
        <v>0</v>
      </c>
      <c r="Q534" t="b">
        <v>0</v>
      </c>
      <c r="R534" t="s">
        <v>33</v>
      </c>
      <c r="S534" t="s">
        <v>2037</v>
      </c>
      <c r="T534" t="s">
        <v>2038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>
        <f t="shared" si="32"/>
        <v>159</v>
      </c>
      <c r="G535" s="5" t="s">
        <v>20</v>
      </c>
      <c r="H535">
        <v>2218</v>
      </c>
      <c r="I535">
        <f t="shared" si="33"/>
        <v>83</v>
      </c>
      <c r="J535" t="s">
        <v>40</v>
      </c>
      <c r="K535" t="s">
        <v>41</v>
      </c>
      <c r="L535">
        <v>1374642000</v>
      </c>
      <c r="M535">
        <v>1377752400</v>
      </c>
      <c r="N535" s="19">
        <f t="shared" si="34"/>
        <v>41479.208333333336</v>
      </c>
      <c r="O535" s="19">
        <f t="shared" si="35"/>
        <v>41515.208333333336</v>
      </c>
      <c r="P535" t="b">
        <v>0</v>
      </c>
      <c r="Q535" t="b">
        <v>0</v>
      </c>
      <c r="R535" t="s">
        <v>60</v>
      </c>
      <c r="S535" t="s">
        <v>2033</v>
      </c>
      <c r="T535" t="s">
        <v>2043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>
        <f t="shared" si="32"/>
        <v>15</v>
      </c>
      <c r="G536" s="4" t="s">
        <v>14</v>
      </c>
      <c r="H536">
        <v>243</v>
      </c>
      <c r="I536">
        <f t="shared" si="33"/>
        <v>55.08</v>
      </c>
      <c r="J536" t="s">
        <v>21</v>
      </c>
      <c r="K536" t="s">
        <v>22</v>
      </c>
      <c r="L536">
        <v>1534482000</v>
      </c>
      <c r="M536">
        <v>1534568400</v>
      </c>
      <c r="N536" s="19">
        <f t="shared" si="34"/>
        <v>43329.208333333328</v>
      </c>
      <c r="O536" s="19">
        <f t="shared" si="35"/>
        <v>43330.208333333328</v>
      </c>
      <c r="P536" t="b">
        <v>0</v>
      </c>
      <c r="Q536" t="b">
        <v>1</v>
      </c>
      <c r="R536" t="s">
        <v>53</v>
      </c>
      <c r="S536" t="s">
        <v>2039</v>
      </c>
      <c r="T536" t="s">
        <v>2042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>
        <f t="shared" si="32"/>
        <v>482</v>
      </c>
      <c r="G537" s="5" t="s">
        <v>20</v>
      </c>
      <c r="H537">
        <v>202</v>
      </c>
      <c r="I537">
        <f t="shared" si="33"/>
        <v>62.04</v>
      </c>
      <c r="J537" t="s">
        <v>107</v>
      </c>
      <c r="K537" t="s">
        <v>108</v>
      </c>
      <c r="L537">
        <v>1528434000</v>
      </c>
      <c r="M537">
        <v>1528606800</v>
      </c>
      <c r="N537" s="19">
        <f t="shared" si="34"/>
        <v>43259.208333333328</v>
      </c>
      <c r="O537" s="19">
        <f t="shared" si="35"/>
        <v>43261.208333333328</v>
      </c>
      <c r="P537" t="b">
        <v>0</v>
      </c>
      <c r="Q537" t="b">
        <v>1</v>
      </c>
      <c r="R537" t="s">
        <v>33</v>
      </c>
      <c r="S537" t="s">
        <v>2037</v>
      </c>
      <c r="T537" t="s">
        <v>2038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>
        <f t="shared" si="32"/>
        <v>150</v>
      </c>
      <c r="G538" s="5" t="s">
        <v>20</v>
      </c>
      <c r="H538">
        <v>140</v>
      </c>
      <c r="I538">
        <f t="shared" si="33"/>
        <v>104.98</v>
      </c>
      <c r="J538" t="s">
        <v>107</v>
      </c>
      <c r="K538" t="s">
        <v>108</v>
      </c>
      <c r="L538">
        <v>1282626000</v>
      </c>
      <c r="M538">
        <v>1284872400</v>
      </c>
      <c r="N538" s="19">
        <f t="shared" si="34"/>
        <v>40414.208333333336</v>
      </c>
      <c r="O538" s="19">
        <f t="shared" si="35"/>
        <v>40440.208333333336</v>
      </c>
      <c r="P538" t="b">
        <v>0</v>
      </c>
      <c r="Q538" t="b">
        <v>0</v>
      </c>
      <c r="R538" t="s">
        <v>119</v>
      </c>
      <c r="S538" t="s">
        <v>2045</v>
      </c>
      <c r="T538" t="s">
        <v>2051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>
        <f t="shared" si="32"/>
        <v>117</v>
      </c>
      <c r="G539" s="5" t="s">
        <v>20</v>
      </c>
      <c r="H539">
        <v>1052</v>
      </c>
      <c r="I539">
        <f t="shared" si="33"/>
        <v>94.04</v>
      </c>
      <c r="J539" t="s">
        <v>36</v>
      </c>
      <c r="K539" t="s">
        <v>37</v>
      </c>
      <c r="L539">
        <v>1535605200</v>
      </c>
      <c r="M539">
        <v>1537592400</v>
      </c>
      <c r="N539" s="19">
        <f t="shared" si="34"/>
        <v>43342.208333333328</v>
      </c>
      <c r="O539" s="19">
        <f t="shared" si="35"/>
        <v>43365.208333333328</v>
      </c>
      <c r="P539" t="b">
        <v>1</v>
      </c>
      <c r="Q539" t="b">
        <v>1</v>
      </c>
      <c r="R539" t="s">
        <v>42</v>
      </c>
      <c r="S539" t="s">
        <v>2039</v>
      </c>
      <c r="T539" t="s">
        <v>2040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>
        <f t="shared" si="32"/>
        <v>38</v>
      </c>
      <c r="G540" s="4" t="s">
        <v>14</v>
      </c>
      <c r="H540">
        <v>1296</v>
      </c>
      <c r="I540">
        <f t="shared" si="33"/>
        <v>44.01</v>
      </c>
      <c r="J540" t="s">
        <v>21</v>
      </c>
      <c r="K540" t="s">
        <v>22</v>
      </c>
      <c r="L540">
        <v>1379826000</v>
      </c>
      <c r="M540">
        <v>1381208400</v>
      </c>
      <c r="N540" s="19">
        <f t="shared" si="34"/>
        <v>41539.208333333336</v>
      </c>
      <c r="O540" s="19">
        <f t="shared" si="35"/>
        <v>41555.208333333336</v>
      </c>
      <c r="P540" t="b">
        <v>0</v>
      </c>
      <c r="Q540" t="b">
        <v>0</v>
      </c>
      <c r="R540" t="s">
        <v>292</v>
      </c>
      <c r="S540" t="s">
        <v>2048</v>
      </c>
      <c r="T540" t="s">
        <v>2059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>
        <f t="shared" si="32"/>
        <v>73</v>
      </c>
      <c r="G541" s="4" t="s">
        <v>14</v>
      </c>
      <c r="H541">
        <v>77</v>
      </c>
      <c r="I541">
        <f t="shared" si="33"/>
        <v>92.47</v>
      </c>
      <c r="J541" t="s">
        <v>21</v>
      </c>
      <c r="K541" t="s">
        <v>22</v>
      </c>
      <c r="L541">
        <v>1561957200</v>
      </c>
      <c r="M541">
        <v>1562475600</v>
      </c>
      <c r="N541" s="19">
        <f t="shared" si="34"/>
        <v>43647.208333333328</v>
      </c>
      <c r="O541" s="19">
        <f t="shared" si="35"/>
        <v>43653.208333333328</v>
      </c>
      <c r="P541" t="b">
        <v>0</v>
      </c>
      <c r="Q541" t="b">
        <v>1</v>
      </c>
      <c r="R541" t="s">
        <v>17</v>
      </c>
      <c r="S541" t="s">
        <v>2031</v>
      </c>
      <c r="T541" t="s">
        <v>2032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>
        <f t="shared" si="32"/>
        <v>266</v>
      </c>
      <c r="G542" s="5" t="s">
        <v>20</v>
      </c>
      <c r="H542">
        <v>247</v>
      </c>
      <c r="I542">
        <f t="shared" si="33"/>
        <v>57.07</v>
      </c>
      <c r="J542" t="s">
        <v>21</v>
      </c>
      <c r="K542" t="s">
        <v>22</v>
      </c>
      <c r="L542">
        <v>1525496400</v>
      </c>
      <c r="M542">
        <v>1527397200</v>
      </c>
      <c r="N542" s="19">
        <f t="shared" si="34"/>
        <v>43225.208333333328</v>
      </c>
      <c r="O542" s="19">
        <f t="shared" si="35"/>
        <v>43247.208333333328</v>
      </c>
      <c r="P542" t="b">
        <v>0</v>
      </c>
      <c r="Q542" t="b">
        <v>0</v>
      </c>
      <c r="R542" t="s">
        <v>122</v>
      </c>
      <c r="S542" t="s">
        <v>2052</v>
      </c>
      <c r="T542" t="s">
        <v>2053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>
        <f t="shared" si="32"/>
        <v>24</v>
      </c>
      <c r="G543" s="4" t="s">
        <v>14</v>
      </c>
      <c r="H543">
        <v>395</v>
      </c>
      <c r="I543">
        <f t="shared" si="33"/>
        <v>109.08</v>
      </c>
      <c r="J543" t="s">
        <v>107</v>
      </c>
      <c r="K543" t="s">
        <v>108</v>
      </c>
      <c r="L543">
        <v>1433912400</v>
      </c>
      <c r="M543">
        <v>1436158800</v>
      </c>
      <c r="N543" s="19">
        <f t="shared" si="34"/>
        <v>42165.208333333328</v>
      </c>
      <c r="O543" s="19">
        <f t="shared" si="35"/>
        <v>42191.208333333328</v>
      </c>
      <c r="P543" t="b">
        <v>0</v>
      </c>
      <c r="Q543" t="b">
        <v>0</v>
      </c>
      <c r="R543" t="s">
        <v>292</v>
      </c>
      <c r="S543" t="s">
        <v>2048</v>
      </c>
      <c r="T543" t="s">
        <v>2059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>
        <f t="shared" si="32"/>
        <v>3</v>
      </c>
      <c r="G544" s="4" t="s">
        <v>14</v>
      </c>
      <c r="H544">
        <v>49</v>
      </c>
      <c r="I544">
        <f t="shared" si="33"/>
        <v>39.39</v>
      </c>
      <c r="J544" t="s">
        <v>40</v>
      </c>
      <c r="K544" t="s">
        <v>41</v>
      </c>
      <c r="L544">
        <v>1453442400</v>
      </c>
      <c r="M544">
        <v>1456034400</v>
      </c>
      <c r="N544" s="19">
        <f t="shared" si="34"/>
        <v>42391.25</v>
      </c>
      <c r="O544" s="19">
        <f t="shared" si="35"/>
        <v>42421.25</v>
      </c>
      <c r="P544" t="b">
        <v>0</v>
      </c>
      <c r="Q544" t="b">
        <v>0</v>
      </c>
      <c r="R544" t="s">
        <v>60</v>
      </c>
      <c r="S544" t="s">
        <v>2033</v>
      </c>
      <c r="T544" t="s">
        <v>2043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>
        <f t="shared" si="32"/>
        <v>16</v>
      </c>
      <c r="G545" s="4" t="s">
        <v>14</v>
      </c>
      <c r="H545">
        <v>180</v>
      </c>
      <c r="I545">
        <f t="shared" si="33"/>
        <v>77.02</v>
      </c>
      <c r="J545" t="s">
        <v>21</v>
      </c>
      <c r="K545" t="s">
        <v>22</v>
      </c>
      <c r="L545">
        <v>1378875600</v>
      </c>
      <c r="M545">
        <v>1380171600</v>
      </c>
      <c r="N545" s="19">
        <f t="shared" si="34"/>
        <v>41528.208333333336</v>
      </c>
      <c r="O545" s="19">
        <f t="shared" si="35"/>
        <v>41543.208333333336</v>
      </c>
      <c r="P545" t="b">
        <v>0</v>
      </c>
      <c r="Q545" t="b">
        <v>0</v>
      </c>
      <c r="R545" t="s">
        <v>89</v>
      </c>
      <c r="S545" t="s">
        <v>2048</v>
      </c>
      <c r="T545" t="s">
        <v>2049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>
        <f t="shared" si="32"/>
        <v>277</v>
      </c>
      <c r="G546" s="5" t="s">
        <v>20</v>
      </c>
      <c r="H546">
        <v>84</v>
      </c>
      <c r="I546">
        <f t="shared" si="33"/>
        <v>92.17</v>
      </c>
      <c r="J546" t="s">
        <v>21</v>
      </c>
      <c r="K546" t="s">
        <v>22</v>
      </c>
      <c r="L546">
        <v>1452232800</v>
      </c>
      <c r="M546">
        <v>1453356000</v>
      </c>
      <c r="N546" s="19">
        <f t="shared" si="34"/>
        <v>42377.25</v>
      </c>
      <c r="O546" s="19">
        <f t="shared" si="35"/>
        <v>42390.25</v>
      </c>
      <c r="P546" t="b">
        <v>0</v>
      </c>
      <c r="Q546" t="b">
        <v>0</v>
      </c>
      <c r="R546" t="s">
        <v>23</v>
      </c>
      <c r="S546" t="s">
        <v>2033</v>
      </c>
      <c r="T546" t="s">
        <v>2034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>
        <f t="shared" si="32"/>
        <v>89</v>
      </c>
      <c r="G547" s="4" t="s">
        <v>14</v>
      </c>
      <c r="H547">
        <v>2690</v>
      </c>
      <c r="I547">
        <f t="shared" si="33"/>
        <v>61.01</v>
      </c>
      <c r="J547" t="s">
        <v>21</v>
      </c>
      <c r="K547" t="s">
        <v>22</v>
      </c>
      <c r="L547">
        <v>1577253600</v>
      </c>
      <c r="M547">
        <v>1578981600</v>
      </c>
      <c r="N547" s="19">
        <f t="shared" si="34"/>
        <v>43824.25</v>
      </c>
      <c r="O547" s="19">
        <f t="shared" si="35"/>
        <v>43844.25</v>
      </c>
      <c r="P547" t="b">
        <v>0</v>
      </c>
      <c r="Q547" t="b">
        <v>0</v>
      </c>
      <c r="R547" t="s">
        <v>33</v>
      </c>
      <c r="S547" t="s">
        <v>2037</v>
      </c>
      <c r="T547" t="s">
        <v>2038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>
        <f t="shared" si="32"/>
        <v>164</v>
      </c>
      <c r="G548" s="5" t="s">
        <v>20</v>
      </c>
      <c r="H548">
        <v>88</v>
      </c>
      <c r="I548">
        <f t="shared" si="33"/>
        <v>78.069999999999993</v>
      </c>
      <c r="J548" t="s">
        <v>21</v>
      </c>
      <c r="K548" t="s">
        <v>22</v>
      </c>
      <c r="L548">
        <v>1537160400</v>
      </c>
      <c r="M548">
        <v>1537419600</v>
      </c>
      <c r="N548" s="19">
        <f t="shared" si="34"/>
        <v>43360.208333333328</v>
      </c>
      <c r="O548" s="19">
        <f t="shared" si="35"/>
        <v>43363.208333333328</v>
      </c>
      <c r="P548" t="b">
        <v>0</v>
      </c>
      <c r="Q548" t="b">
        <v>1</v>
      </c>
      <c r="R548" t="s">
        <v>33</v>
      </c>
      <c r="S548" t="s">
        <v>2037</v>
      </c>
      <c r="T548" t="s">
        <v>2038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>
        <f t="shared" si="32"/>
        <v>969</v>
      </c>
      <c r="G549" s="5" t="s">
        <v>20</v>
      </c>
      <c r="H549">
        <v>156</v>
      </c>
      <c r="I549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s="19">
        <f t="shared" si="34"/>
        <v>42029.25</v>
      </c>
      <c r="O549" s="19">
        <f t="shared" si="35"/>
        <v>42041.25</v>
      </c>
      <c r="P549" t="b">
        <v>0</v>
      </c>
      <c r="Q549" t="b">
        <v>0</v>
      </c>
      <c r="R549" t="s">
        <v>53</v>
      </c>
      <c r="S549" t="s">
        <v>2039</v>
      </c>
      <c r="T549" t="s">
        <v>2042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>
        <f t="shared" si="32"/>
        <v>271</v>
      </c>
      <c r="G550" s="5" t="s">
        <v>20</v>
      </c>
      <c r="H550">
        <v>2985</v>
      </c>
      <c r="I550">
        <f t="shared" si="33"/>
        <v>59.99</v>
      </c>
      <c r="J550" t="s">
        <v>21</v>
      </c>
      <c r="K550" t="s">
        <v>22</v>
      </c>
      <c r="L550">
        <v>1459486800</v>
      </c>
      <c r="M550">
        <v>1460610000</v>
      </c>
      <c r="N550" s="19">
        <f t="shared" si="34"/>
        <v>42461.208333333328</v>
      </c>
      <c r="O550" s="19">
        <f t="shared" si="35"/>
        <v>42474.208333333328</v>
      </c>
      <c r="P550" t="b">
        <v>0</v>
      </c>
      <c r="Q550" t="b">
        <v>0</v>
      </c>
      <c r="R550" t="s">
        <v>33</v>
      </c>
      <c r="S550" t="s">
        <v>2037</v>
      </c>
      <c r="T550" t="s">
        <v>2038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>
        <f t="shared" si="32"/>
        <v>284</v>
      </c>
      <c r="G551" s="5" t="s">
        <v>20</v>
      </c>
      <c r="H551">
        <v>762</v>
      </c>
      <c r="I551">
        <f t="shared" si="33"/>
        <v>110.03</v>
      </c>
      <c r="J551" t="s">
        <v>21</v>
      </c>
      <c r="K551" t="s">
        <v>22</v>
      </c>
      <c r="L551">
        <v>1369717200</v>
      </c>
      <c r="M551">
        <v>1370494800</v>
      </c>
      <c r="N551" s="19">
        <f t="shared" si="34"/>
        <v>41422.208333333336</v>
      </c>
      <c r="O551" s="19">
        <f t="shared" si="35"/>
        <v>41431.208333333336</v>
      </c>
      <c r="P551" t="b">
        <v>0</v>
      </c>
      <c r="Q551" t="b">
        <v>0</v>
      </c>
      <c r="R551" t="s">
        <v>65</v>
      </c>
      <c r="S551" t="s">
        <v>2035</v>
      </c>
      <c r="T551" t="s">
        <v>2044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>
        <f t="shared" si="32"/>
        <v>4</v>
      </c>
      <c r="G552" s="7" t="s">
        <v>74</v>
      </c>
      <c r="H552">
        <v>1</v>
      </c>
      <c r="I552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s="19">
        <f t="shared" si="34"/>
        <v>40968.25</v>
      </c>
      <c r="O552" s="19">
        <f t="shared" si="35"/>
        <v>40989.208333333336</v>
      </c>
      <c r="P552" t="b">
        <v>0</v>
      </c>
      <c r="Q552" t="b">
        <v>0</v>
      </c>
      <c r="R552" t="s">
        <v>60</v>
      </c>
      <c r="S552" t="s">
        <v>2033</v>
      </c>
      <c r="T552" t="s">
        <v>2043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>
        <f t="shared" si="32"/>
        <v>59</v>
      </c>
      <c r="G553" s="4" t="s">
        <v>14</v>
      </c>
      <c r="H553">
        <v>2779</v>
      </c>
      <c r="I553">
        <f t="shared" si="33"/>
        <v>38</v>
      </c>
      <c r="J553" t="s">
        <v>26</v>
      </c>
      <c r="K553" t="s">
        <v>27</v>
      </c>
      <c r="L553">
        <v>1419055200</v>
      </c>
      <c r="M553">
        <v>1422511200</v>
      </c>
      <c r="N553" s="19">
        <f t="shared" si="34"/>
        <v>41993.25</v>
      </c>
      <c r="O553" s="19">
        <f t="shared" si="35"/>
        <v>42033.25</v>
      </c>
      <c r="P553" t="b">
        <v>0</v>
      </c>
      <c r="Q553" t="b">
        <v>1</v>
      </c>
      <c r="R553" t="s">
        <v>28</v>
      </c>
      <c r="S553" t="s">
        <v>2035</v>
      </c>
      <c r="T553" t="s">
        <v>2036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>
        <f t="shared" si="32"/>
        <v>99</v>
      </c>
      <c r="G554" s="4" t="s">
        <v>14</v>
      </c>
      <c r="H554">
        <v>92</v>
      </c>
      <c r="I554">
        <f t="shared" si="33"/>
        <v>96.37</v>
      </c>
      <c r="J554" t="s">
        <v>21</v>
      </c>
      <c r="K554" t="s">
        <v>22</v>
      </c>
      <c r="L554">
        <v>1480140000</v>
      </c>
      <c r="M554">
        <v>1480312800</v>
      </c>
      <c r="N554" s="19">
        <f t="shared" si="34"/>
        <v>42700.25</v>
      </c>
      <c r="O554" s="19">
        <f t="shared" si="35"/>
        <v>42702.25</v>
      </c>
      <c r="P554" t="b">
        <v>0</v>
      </c>
      <c r="Q554" t="b">
        <v>0</v>
      </c>
      <c r="R554" t="s">
        <v>33</v>
      </c>
      <c r="S554" t="s">
        <v>2037</v>
      </c>
      <c r="T554" t="s">
        <v>2038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>
        <f t="shared" si="32"/>
        <v>44</v>
      </c>
      <c r="G555" s="4" t="s">
        <v>14</v>
      </c>
      <c r="H555">
        <v>1028</v>
      </c>
      <c r="I555">
        <f t="shared" si="33"/>
        <v>72.98</v>
      </c>
      <c r="J555" t="s">
        <v>21</v>
      </c>
      <c r="K555" t="s">
        <v>22</v>
      </c>
      <c r="L555">
        <v>1293948000</v>
      </c>
      <c r="M555">
        <v>1294034400</v>
      </c>
      <c r="N555" s="19">
        <f t="shared" si="34"/>
        <v>40545.25</v>
      </c>
      <c r="O555" s="19">
        <f t="shared" si="35"/>
        <v>40546.25</v>
      </c>
      <c r="P555" t="b">
        <v>0</v>
      </c>
      <c r="Q555" t="b">
        <v>0</v>
      </c>
      <c r="R555" t="s">
        <v>23</v>
      </c>
      <c r="S555" t="s">
        <v>2033</v>
      </c>
      <c r="T555" t="s">
        <v>2034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>
        <f t="shared" si="32"/>
        <v>152</v>
      </c>
      <c r="G556" s="5" t="s">
        <v>20</v>
      </c>
      <c r="H556">
        <v>554</v>
      </c>
      <c r="I556">
        <f t="shared" si="33"/>
        <v>26.01</v>
      </c>
      <c r="J556" t="s">
        <v>15</v>
      </c>
      <c r="K556" t="s">
        <v>16</v>
      </c>
      <c r="L556">
        <v>1482127200</v>
      </c>
      <c r="M556">
        <v>1482645600</v>
      </c>
      <c r="N556" s="19">
        <f t="shared" si="34"/>
        <v>42723.25</v>
      </c>
      <c r="O556" s="19">
        <f t="shared" si="35"/>
        <v>42729.25</v>
      </c>
      <c r="P556" t="b">
        <v>0</v>
      </c>
      <c r="Q556" t="b">
        <v>0</v>
      </c>
      <c r="R556" t="s">
        <v>60</v>
      </c>
      <c r="S556" t="s">
        <v>2033</v>
      </c>
      <c r="T556" t="s">
        <v>2043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>
        <f t="shared" si="32"/>
        <v>224</v>
      </c>
      <c r="G557" s="5" t="s">
        <v>20</v>
      </c>
      <c r="H557">
        <v>135</v>
      </c>
      <c r="I557">
        <f t="shared" si="33"/>
        <v>104.36</v>
      </c>
      <c r="J557" t="s">
        <v>36</v>
      </c>
      <c r="K557" t="s">
        <v>37</v>
      </c>
      <c r="L557">
        <v>1396414800</v>
      </c>
      <c r="M557">
        <v>1399093200</v>
      </c>
      <c r="N557" s="19">
        <f t="shared" si="34"/>
        <v>41731.208333333336</v>
      </c>
      <c r="O557" s="19">
        <f t="shared" si="35"/>
        <v>41762.208333333336</v>
      </c>
      <c r="P557" t="b">
        <v>0</v>
      </c>
      <c r="Q557" t="b">
        <v>0</v>
      </c>
      <c r="R557" t="s">
        <v>23</v>
      </c>
      <c r="S557" t="s">
        <v>2033</v>
      </c>
      <c r="T557" t="s">
        <v>2034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>
        <f t="shared" si="32"/>
        <v>240</v>
      </c>
      <c r="G558" s="5" t="s">
        <v>20</v>
      </c>
      <c r="H558">
        <v>122</v>
      </c>
      <c r="I558">
        <f t="shared" si="33"/>
        <v>102.19</v>
      </c>
      <c r="J558" t="s">
        <v>21</v>
      </c>
      <c r="K558" t="s">
        <v>22</v>
      </c>
      <c r="L558">
        <v>1315285200</v>
      </c>
      <c r="M558">
        <v>1315890000</v>
      </c>
      <c r="N558" s="19">
        <f t="shared" si="34"/>
        <v>40792.208333333336</v>
      </c>
      <c r="O558" s="19">
        <f t="shared" si="35"/>
        <v>40799.208333333336</v>
      </c>
      <c r="P558" t="b">
        <v>0</v>
      </c>
      <c r="Q558" t="b">
        <v>1</v>
      </c>
      <c r="R558" t="s">
        <v>206</v>
      </c>
      <c r="S558" t="s">
        <v>2045</v>
      </c>
      <c r="T558" t="s">
        <v>2057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>
        <f t="shared" si="32"/>
        <v>199</v>
      </c>
      <c r="G559" s="5" t="s">
        <v>20</v>
      </c>
      <c r="H559">
        <v>221</v>
      </c>
      <c r="I559">
        <f t="shared" si="33"/>
        <v>54.12</v>
      </c>
      <c r="J559" t="s">
        <v>21</v>
      </c>
      <c r="K559" t="s">
        <v>22</v>
      </c>
      <c r="L559">
        <v>1443762000</v>
      </c>
      <c r="M559">
        <v>1444021200</v>
      </c>
      <c r="N559" s="19">
        <f t="shared" si="34"/>
        <v>42279.208333333328</v>
      </c>
      <c r="O559" s="19">
        <f t="shared" si="35"/>
        <v>42282.208333333328</v>
      </c>
      <c r="P559" t="b">
        <v>0</v>
      </c>
      <c r="Q559" t="b">
        <v>1</v>
      </c>
      <c r="R559" t="s">
        <v>474</v>
      </c>
      <c r="S559" t="s">
        <v>2039</v>
      </c>
      <c r="T559" t="s">
        <v>2061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>
        <f t="shared" si="32"/>
        <v>137</v>
      </c>
      <c r="G560" s="5" t="s">
        <v>20</v>
      </c>
      <c r="H560">
        <v>126</v>
      </c>
      <c r="I560">
        <f t="shared" si="33"/>
        <v>63.22</v>
      </c>
      <c r="J560" t="s">
        <v>21</v>
      </c>
      <c r="K560" t="s">
        <v>22</v>
      </c>
      <c r="L560">
        <v>1456293600</v>
      </c>
      <c r="M560">
        <v>1460005200</v>
      </c>
      <c r="N560" s="19">
        <f t="shared" si="34"/>
        <v>42424.25</v>
      </c>
      <c r="O560" s="19">
        <f t="shared" si="35"/>
        <v>42467.208333333328</v>
      </c>
      <c r="P560" t="b">
        <v>0</v>
      </c>
      <c r="Q560" t="b">
        <v>0</v>
      </c>
      <c r="R560" t="s">
        <v>33</v>
      </c>
      <c r="S560" t="s">
        <v>2037</v>
      </c>
      <c r="T560" t="s">
        <v>2038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>
        <f t="shared" si="32"/>
        <v>101</v>
      </c>
      <c r="G561" s="5" t="s">
        <v>20</v>
      </c>
      <c r="H561">
        <v>1022</v>
      </c>
      <c r="I561">
        <f t="shared" si="33"/>
        <v>104.03</v>
      </c>
      <c r="J561" t="s">
        <v>21</v>
      </c>
      <c r="K561" t="s">
        <v>22</v>
      </c>
      <c r="L561">
        <v>1470114000</v>
      </c>
      <c r="M561">
        <v>1470718800</v>
      </c>
      <c r="N561" s="19">
        <f t="shared" si="34"/>
        <v>42584.208333333328</v>
      </c>
      <c r="O561" s="19">
        <f t="shared" si="35"/>
        <v>42591.208333333328</v>
      </c>
      <c r="P561" t="b">
        <v>0</v>
      </c>
      <c r="Q561" t="b">
        <v>0</v>
      </c>
      <c r="R561" t="s">
        <v>33</v>
      </c>
      <c r="S561" t="s">
        <v>2037</v>
      </c>
      <c r="T561" t="s">
        <v>2038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>
        <f t="shared" si="32"/>
        <v>794</v>
      </c>
      <c r="G562" s="5" t="s">
        <v>20</v>
      </c>
      <c r="H562">
        <v>3177</v>
      </c>
      <c r="I562">
        <f t="shared" si="33"/>
        <v>49.99</v>
      </c>
      <c r="J562" t="s">
        <v>21</v>
      </c>
      <c r="K562" t="s">
        <v>22</v>
      </c>
      <c r="L562">
        <v>1321596000</v>
      </c>
      <c r="M562">
        <v>1325052000</v>
      </c>
      <c r="N562" s="19">
        <f t="shared" si="34"/>
        <v>40865.25</v>
      </c>
      <c r="O562" s="19">
        <f t="shared" si="35"/>
        <v>40905.25</v>
      </c>
      <c r="P562" t="b">
        <v>0</v>
      </c>
      <c r="Q562" t="b">
        <v>0</v>
      </c>
      <c r="R562" t="s">
        <v>71</v>
      </c>
      <c r="S562" t="s">
        <v>2039</v>
      </c>
      <c r="T562" t="s">
        <v>2047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>
        <f t="shared" si="32"/>
        <v>370</v>
      </c>
      <c r="G563" s="5" t="s">
        <v>20</v>
      </c>
      <c r="H563">
        <v>198</v>
      </c>
      <c r="I563">
        <f t="shared" si="33"/>
        <v>56.02</v>
      </c>
      <c r="J563" t="s">
        <v>98</v>
      </c>
      <c r="K563" t="s">
        <v>99</v>
      </c>
      <c r="L563">
        <v>1318827600</v>
      </c>
      <c r="M563">
        <v>1319000400</v>
      </c>
      <c r="N563" s="19">
        <f t="shared" si="34"/>
        <v>40833.208333333336</v>
      </c>
      <c r="O563" s="19">
        <f t="shared" si="35"/>
        <v>40835.208333333336</v>
      </c>
      <c r="P563" t="b">
        <v>0</v>
      </c>
      <c r="Q563" t="b">
        <v>0</v>
      </c>
      <c r="R563" t="s">
        <v>33</v>
      </c>
      <c r="S563" t="s">
        <v>2037</v>
      </c>
      <c r="T563" t="s">
        <v>2038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>
        <f t="shared" si="32"/>
        <v>13</v>
      </c>
      <c r="G564" s="4" t="s">
        <v>14</v>
      </c>
      <c r="H564">
        <v>26</v>
      </c>
      <c r="I564">
        <f t="shared" si="33"/>
        <v>48.81</v>
      </c>
      <c r="J564" t="s">
        <v>98</v>
      </c>
      <c r="K564" t="s">
        <v>99</v>
      </c>
      <c r="L564">
        <v>1552366800</v>
      </c>
      <c r="M564">
        <v>1552539600</v>
      </c>
      <c r="N564" s="19">
        <f t="shared" si="34"/>
        <v>43536.208333333328</v>
      </c>
      <c r="O564" s="19">
        <f t="shared" si="35"/>
        <v>43538.208333333328</v>
      </c>
      <c r="P564" t="b">
        <v>0</v>
      </c>
      <c r="Q564" t="b">
        <v>0</v>
      </c>
      <c r="R564" t="s">
        <v>23</v>
      </c>
      <c r="S564" t="s">
        <v>2033</v>
      </c>
      <c r="T564" t="s">
        <v>2034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>
        <f t="shared" si="32"/>
        <v>138</v>
      </c>
      <c r="G565" s="5" t="s">
        <v>20</v>
      </c>
      <c r="H565">
        <v>85</v>
      </c>
      <c r="I565">
        <f t="shared" si="33"/>
        <v>60.08</v>
      </c>
      <c r="J565" t="s">
        <v>26</v>
      </c>
      <c r="K565" t="s">
        <v>27</v>
      </c>
      <c r="L565">
        <v>1542088800</v>
      </c>
      <c r="M565">
        <v>1543816800</v>
      </c>
      <c r="N565" s="19">
        <f t="shared" si="34"/>
        <v>43417.25</v>
      </c>
      <c r="O565" s="19">
        <f t="shared" si="35"/>
        <v>43437.25</v>
      </c>
      <c r="P565" t="b">
        <v>0</v>
      </c>
      <c r="Q565" t="b">
        <v>0</v>
      </c>
      <c r="R565" t="s">
        <v>42</v>
      </c>
      <c r="S565" t="s">
        <v>2039</v>
      </c>
      <c r="T565" t="s">
        <v>2040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>
        <f t="shared" si="32"/>
        <v>84</v>
      </c>
      <c r="G566" s="4" t="s">
        <v>14</v>
      </c>
      <c r="H566">
        <v>1790</v>
      </c>
      <c r="I566">
        <f t="shared" si="33"/>
        <v>78.989999999999995</v>
      </c>
      <c r="J566" t="s">
        <v>21</v>
      </c>
      <c r="K566" t="s">
        <v>22</v>
      </c>
      <c r="L566">
        <v>1426395600</v>
      </c>
      <c r="M566">
        <v>1427086800</v>
      </c>
      <c r="N566" s="19">
        <f t="shared" si="34"/>
        <v>42078.208333333328</v>
      </c>
      <c r="O566" s="19">
        <f t="shared" si="35"/>
        <v>42086.208333333328</v>
      </c>
      <c r="P566" t="b">
        <v>0</v>
      </c>
      <c r="Q566" t="b">
        <v>0</v>
      </c>
      <c r="R566" t="s">
        <v>33</v>
      </c>
      <c r="S566" t="s">
        <v>2037</v>
      </c>
      <c r="T566" t="s">
        <v>2038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>
        <f t="shared" si="32"/>
        <v>205</v>
      </c>
      <c r="G567" s="5" t="s">
        <v>20</v>
      </c>
      <c r="H567">
        <v>3596</v>
      </c>
      <c r="I567">
        <f t="shared" si="33"/>
        <v>53.99</v>
      </c>
      <c r="J567" t="s">
        <v>21</v>
      </c>
      <c r="K567" t="s">
        <v>22</v>
      </c>
      <c r="L567">
        <v>1321336800</v>
      </c>
      <c r="M567">
        <v>1323064800</v>
      </c>
      <c r="N567" s="19">
        <f t="shared" si="34"/>
        <v>40862.25</v>
      </c>
      <c r="O567" s="19">
        <f t="shared" si="35"/>
        <v>40882.25</v>
      </c>
      <c r="P567" t="b">
        <v>0</v>
      </c>
      <c r="Q567" t="b">
        <v>0</v>
      </c>
      <c r="R567" t="s">
        <v>33</v>
      </c>
      <c r="S567" t="s">
        <v>2037</v>
      </c>
      <c r="T567" t="s">
        <v>2038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>
        <f t="shared" si="32"/>
        <v>44</v>
      </c>
      <c r="G568" s="4" t="s">
        <v>14</v>
      </c>
      <c r="H568">
        <v>37</v>
      </c>
      <c r="I568">
        <f t="shared" si="33"/>
        <v>111.46</v>
      </c>
      <c r="J568" t="s">
        <v>21</v>
      </c>
      <c r="K568" t="s">
        <v>22</v>
      </c>
      <c r="L568">
        <v>1456293600</v>
      </c>
      <c r="M568">
        <v>1458277200</v>
      </c>
      <c r="N568" s="19">
        <f t="shared" si="34"/>
        <v>42424.25</v>
      </c>
      <c r="O568" s="19">
        <f t="shared" si="35"/>
        <v>42447.208333333328</v>
      </c>
      <c r="P568" t="b">
        <v>0</v>
      </c>
      <c r="Q568" t="b">
        <v>1</v>
      </c>
      <c r="R568" t="s">
        <v>50</v>
      </c>
      <c r="S568" t="s">
        <v>2033</v>
      </c>
      <c r="T568" t="s">
        <v>2041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>
        <f t="shared" si="32"/>
        <v>219</v>
      </c>
      <c r="G569" s="5" t="s">
        <v>20</v>
      </c>
      <c r="H569">
        <v>244</v>
      </c>
      <c r="I569">
        <f t="shared" si="33"/>
        <v>60.92</v>
      </c>
      <c r="J569" t="s">
        <v>21</v>
      </c>
      <c r="K569" t="s">
        <v>22</v>
      </c>
      <c r="L569">
        <v>1404968400</v>
      </c>
      <c r="M569">
        <v>1405141200</v>
      </c>
      <c r="N569" s="19">
        <f t="shared" si="34"/>
        <v>41830.208333333336</v>
      </c>
      <c r="O569" s="19">
        <f t="shared" si="35"/>
        <v>41832.208333333336</v>
      </c>
      <c r="P569" t="b">
        <v>0</v>
      </c>
      <c r="Q569" t="b">
        <v>0</v>
      </c>
      <c r="R569" t="s">
        <v>23</v>
      </c>
      <c r="S569" t="s">
        <v>2033</v>
      </c>
      <c r="T569" t="s">
        <v>2034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>
        <f t="shared" si="32"/>
        <v>186</v>
      </c>
      <c r="G570" s="5" t="s">
        <v>20</v>
      </c>
      <c r="H570">
        <v>5180</v>
      </c>
      <c r="I570">
        <f t="shared" si="33"/>
        <v>26</v>
      </c>
      <c r="J570" t="s">
        <v>21</v>
      </c>
      <c r="K570" t="s">
        <v>22</v>
      </c>
      <c r="L570">
        <v>1279170000</v>
      </c>
      <c r="M570">
        <v>1283058000</v>
      </c>
      <c r="N570" s="19">
        <f t="shared" si="34"/>
        <v>40374.208333333336</v>
      </c>
      <c r="O570" s="19">
        <f t="shared" si="35"/>
        <v>40419.208333333336</v>
      </c>
      <c r="P570" t="b">
        <v>0</v>
      </c>
      <c r="Q570" t="b">
        <v>0</v>
      </c>
      <c r="R570" t="s">
        <v>33</v>
      </c>
      <c r="S570" t="s">
        <v>2037</v>
      </c>
      <c r="T570" t="s">
        <v>2038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>
        <f t="shared" si="32"/>
        <v>237</v>
      </c>
      <c r="G571" s="5" t="s">
        <v>20</v>
      </c>
      <c r="H571">
        <v>589</v>
      </c>
      <c r="I571">
        <f t="shared" si="33"/>
        <v>80.989999999999995</v>
      </c>
      <c r="J571" t="s">
        <v>107</v>
      </c>
      <c r="K571" t="s">
        <v>108</v>
      </c>
      <c r="L571">
        <v>1294725600</v>
      </c>
      <c r="M571">
        <v>1295762400</v>
      </c>
      <c r="N571" s="19">
        <f t="shared" si="34"/>
        <v>40554.25</v>
      </c>
      <c r="O571" s="19">
        <f t="shared" si="35"/>
        <v>40566.25</v>
      </c>
      <c r="P571" t="b">
        <v>0</v>
      </c>
      <c r="Q571" t="b">
        <v>0</v>
      </c>
      <c r="R571" t="s">
        <v>71</v>
      </c>
      <c r="S571" t="s">
        <v>2039</v>
      </c>
      <c r="T571" t="s">
        <v>2047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>
        <f t="shared" si="32"/>
        <v>306</v>
      </c>
      <c r="G572" s="5" t="s">
        <v>20</v>
      </c>
      <c r="H572">
        <v>2725</v>
      </c>
      <c r="I572">
        <f t="shared" si="33"/>
        <v>35</v>
      </c>
      <c r="J572" t="s">
        <v>21</v>
      </c>
      <c r="K572" t="s">
        <v>22</v>
      </c>
      <c r="L572">
        <v>1419055200</v>
      </c>
      <c r="M572">
        <v>1419573600</v>
      </c>
      <c r="N572" s="19">
        <f t="shared" si="34"/>
        <v>41993.25</v>
      </c>
      <c r="O572" s="19">
        <f t="shared" si="35"/>
        <v>41999.25</v>
      </c>
      <c r="P572" t="b">
        <v>0</v>
      </c>
      <c r="Q572" t="b">
        <v>1</v>
      </c>
      <c r="R572" t="s">
        <v>23</v>
      </c>
      <c r="S572" t="s">
        <v>2033</v>
      </c>
      <c r="T572" t="s">
        <v>2034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>
        <f t="shared" si="32"/>
        <v>94</v>
      </c>
      <c r="G573" s="4" t="s">
        <v>14</v>
      </c>
      <c r="H573">
        <v>35</v>
      </c>
      <c r="I573">
        <f t="shared" si="33"/>
        <v>94.14</v>
      </c>
      <c r="J573" t="s">
        <v>107</v>
      </c>
      <c r="K573" t="s">
        <v>108</v>
      </c>
      <c r="L573">
        <v>1434690000</v>
      </c>
      <c r="M573">
        <v>1438750800</v>
      </c>
      <c r="N573" s="19">
        <f t="shared" si="34"/>
        <v>42174.208333333328</v>
      </c>
      <c r="O573" s="19">
        <f t="shared" si="35"/>
        <v>42221.208333333328</v>
      </c>
      <c r="P573" t="b">
        <v>0</v>
      </c>
      <c r="Q573" t="b">
        <v>0</v>
      </c>
      <c r="R573" t="s">
        <v>100</v>
      </c>
      <c r="S573" t="s">
        <v>2039</v>
      </c>
      <c r="T573" t="s">
        <v>2050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>
        <f t="shared" si="32"/>
        <v>54</v>
      </c>
      <c r="G574" s="7" t="s">
        <v>74</v>
      </c>
      <c r="H574">
        <v>94</v>
      </c>
      <c r="I574">
        <f t="shared" si="33"/>
        <v>52.09</v>
      </c>
      <c r="J574" t="s">
        <v>21</v>
      </c>
      <c r="K574" t="s">
        <v>22</v>
      </c>
      <c r="L574">
        <v>1443416400</v>
      </c>
      <c r="M574">
        <v>1444798800</v>
      </c>
      <c r="N574" s="19">
        <f t="shared" si="34"/>
        <v>42275.208333333328</v>
      </c>
      <c r="O574" s="19">
        <f t="shared" si="35"/>
        <v>42291.208333333328</v>
      </c>
      <c r="P574" t="b">
        <v>0</v>
      </c>
      <c r="Q574" t="b">
        <v>1</v>
      </c>
      <c r="R574" t="s">
        <v>23</v>
      </c>
      <c r="S574" t="s">
        <v>2033</v>
      </c>
      <c r="T574" t="s">
        <v>2034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>
        <f t="shared" si="32"/>
        <v>112</v>
      </c>
      <c r="G575" s="5" t="s">
        <v>20</v>
      </c>
      <c r="H575">
        <v>300</v>
      </c>
      <c r="I575">
        <f t="shared" si="33"/>
        <v>24.99</v>
      </c>
      <c r="J575" t="s">
        <v>21</v>
      </c>
      <c r="K575" t="s">
        <v>22</v>
      </c>
      <c r="L575">
        <v>1399006800</v>
      </c>
      <c r="M575">
        <v>1399179600</v>
      </c>
      <c r="N575" s="19">
        <f t="shared" si="34"/>
        <v>41761.208333333336</v>
      </c>
      <c r="O575" s="19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2062</v>
      </c>
      <c r="T575" t="s">
        <v>2063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>
        <f t="shared" si="32"/>
        <v>369</v>
      </c>
      <c r="G576" s="5" t="s">
        <v>20</v>
      </c>
      <c r="H576">
        <v>144</v>
      </c>
      <c r="I576">
        <f t="shared" si="33"/>
        <v>69.22</v>
      </c>
      <c r="J576" t="s">
        <v>21</v>
      </c>
      <c r="K576" t="s">
        <v>22</v>
      </c>
      <c r="L576">
        <v>1575698400</v>
      </c>
      <c r="M576">
        <v>1576562400</v>
      </c>
      <c r="N576" s="19">
        <f t="shared" si="34"/>
        <v>43806.25</v>
      </c>
      <c r="O576" s="19">
        <f t="shared" si="35"/>
        <v>43816.25</v>
      </c>
      <c r="P576" t="b">
        <v>0</v>
      </c>
      <c r="Q576" t="b">
        <v>1</v>
      </c>
      <c r="R576" t="s">
        <v>17</v>
      </c>
      <c r="S576" t="s">
        <v>2031</v>
      </c>
      <c r="T576" t="s">
        <v>2032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>
        <f t="shared" si="32"/>
        <v>63</v>
      </c>
      <c r="G577" s="4" t="s">
        <v>14</v>
      </c>
      <c r="H577">
        <v>558</v>
      </c>
      <c r="I577">
        <f t="shared" si="33"/>
        <v>93.94</v>
      </c>
      <c r="J577" t="s">
        <v>21</v>
      </c>
      <c r="K577" t="s">
        <v>22</v>
      </c>
      <c r="L577">
        <v>1400562000</v>
      </c>
      <c r="M577">
        <v>1400821200</v>
      </c>
      <c r="N577" s="19">
        <f t="shared" si="34"/>
        <v>41779.208333333336</v>
      </c>
      <c r="O577" s="19">
        <f t="shared" si="35"/>
        <v>41782.208333333336</v>
      </c>
      <c r="P577" t="b">
        <v>0</v>
      </c>
      <c r="Q577" t="b">
        <v>1</v>
      </c>
      <c r="R577" t="s">
        <v>33</v>
      </c>
      <c r="S577" t="s">
        <v>2037</v>
      </c>
      <c r="T577" t="s">
        <v>2038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>
        <f t="shared" si="32"/>
        <v>65</v>
      </c>
      <c r="G578" s="4" t="s">
        <v>14</v>
      </c>
      <c r="H578">
        <v>64</v>
      </c>
      <c r="I578">
        <f t="shared" si="33"/>
        <v>98.41</v>
      </c>
      <c r="J578" t="s">
        <v>21</v>
      </c>
      <c r="K578" t="s">
        <v>22</v>
      </c>
      <c r="L578">
        <v>1509512400</v>
      </c>
      <c r="M578">
        <v>1510984800</v>
      </c>
      <c r="N578" s="19">
        <f t="shared" si="34"/>
        <v>43040.208333333328</v>
      </c>
      <c r="O578" s="19">
        <f t="shared" si="35"/>
        <v>43057.25</v>
      </c>
      <c r="P578" t="b">
        <v>0</v>
      </c>
      <c r="Q578" t="b">
        <v>0</v>
      </c>
      <c r="R578" t="s">
        <v>33</v>
      </c>
      <c r="S578" t="s">
        <v>2037</v>
      </c>
      <c r="T578" t="s">
        <v>2038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>
        <f t="shared" ref="F579:F642" si="36">ROUND(E579/D579*100,0)</f>
        <v>19</v>
      </c>
      <c r="G579" s="7" t="s">
        <v>74</v>
      </c>
      <c r="H579">
        <v>37</v>
      </c>
      <c r="I579">
        <f t="shared" ref="I579:I642" si="37">ROUND(E579/H579,2)</f>
        <v>41.78</v>
      </c>
      <c r="J579" t="s">
        <v>21</v>
      </c>
      <c r="K579" t="s">
        <v>22</v>
      </c>
      <c r="L579">
        <v>1299823200</v>
      </c>
      <c r="M579">
        <v>1302066000</v>
      </c>
      <c r="N579" s="19">
        <f t="shared" ref="N579:N642" si="38">(((L579/60)/60)/24)+DATE(1970,1,1)</f>
        <v>40613.25</v>
      </c>
      <c r="O579" s="19">
        <f t="shared" ref="O579:O642" si="39">(((M579/60)/60)/24)+DATE(1970,1,1)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2033</v>
      </c>
      <c r="T579" t="s">
        <v>2056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>
        <f t="shared" si="36"/>
        <v>17</v>
      </c>
      <c r="G580" s="4" t="s">
        <v>14</v>
      </c>
      <c r="H580">
        <v>245</v>
      </c>
      <c r="I580">
        <f t="shared" si="37"/>
        <v>65.989999999999995</v>
      </c>
      <c r="J580" t="s">
        <v>21</v>
      </c>
      <c r="K580" t="s">
        <v>22</v>
      </c>
      <c r="L580">
        <v>1322719200</v>
      </c>
      <c r="M580">
        <v>1322978400</v>
      </c>
      <c r="N580" s="19">
        <f t="shared" si="38"/>
        <v>40878.25</v>
      </c>
      <c r="O580" s="19">
        <f t="shared" si="39"/>
        <v>40881.25</v>
      </c>
      <c r="P580" t="b">
        <v>0</v>
      </c>
      <c r="Q580" t="b">
        <v>0</v>
      </c>
      <c r="R580" t="s">
        <v>474</v>
      </c>
      <c r="S580" t="s">
        <v>2039</v>
      </c>
      <c r="T580" t="s">
        <v>2061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>
        <f t="shared" si="36"/>
        <v>101</v>
      </c>
      <c r="G581" s="5" t="s">
        <v>20</v>
      </c>
      <c r="H581">
        <v>87</v>
      </c>
      <c r="I581">
        <f t="shared" si="37"/>
        <v>72.06</v>
      </c>
      <c r="J581" t="s">
        <v>21</v>
      </c>
      <c r="K581" t="s">
        <v>22</v>
      </c>
      <c r="L581">
        <v>1312693200</v>
      </c>
      <c r="M581">
        <v>1313730000</v>
      </c>
      <c r="N581" s="19">
        <f t="shared" si="38"/>
        <v>40762.208333333336</v>
      </c>
      <c r="O581" s="19">
        <f t="shared" si="39"/>
        <v>40774.208333333336</v>
      </c>
      <c r="P581" t="b">
        <v>0</v>
      </c>
      <c r="Q581" t="b">
        <v>0</v>
      </c>
      <c r="R581" t="s">
        <v>159</v>
      </c>
      <c r="S581" t="s">
        <v>2033</v>
      </c>
      <c r="T581" t="s">
        <v>2056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>
        <f t="shared" si="36"/>
        <v>342</v>
      </c>
      <c r="G582" s="5" t="s">
        <v>20</v>
      </c>
      <c r="H582">
        <v>3116</v>
      </c>
      <c r="I582">
        <f t="shared" si="37"/>
        <v>48</v>
      </c>
      <c r="J582" t="s">
        <v>21</v>
      </c>
      <c r="K582" t="s">
        <v>22</v>
      </c>
      <c r="L582">
        <v>1393394400</v>
      </c>
      <c r="M582">
        <v>1394085600</v>
      </c>
      <c r="N582" s="19">
        <f t="shared" si="38"/>
        <v>41696.25</v>
      </c>
      <c r="O582" s="19">
        <f t="shared" si="39"/>
        <v>41704.25</v>
      </c>
      <c r="P582" t="b">
        <v>0</v>
      </c>
      <c r="Q582" t="b">
        <v>0</v>
      </c>
      <c r="R582" t="s">
        <v>33</v>
      </c>
      <c r="S582" t="s">
        <v>2037</v>
      </c>
      <c r="T582" t="s">
        <v>2038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>
        <f t="shared" si="36"/>
        <v>64</v>
      </c>
      <c r="G583" s="4" t="s">
        <v>14</v>
      </c>
      <c r="H583">
        <v>71</v>
      </c>
      <c r="I583">
        <f t="shared" si="37"/>
        <v>54.1</v>
      </c>
      <c r="J583" t="s">
        <v>21</v>
      </c>
      <c r="K583" t="s">
        <v>22</v>
      </c>
      <c r="L583">
        <v>1304053200</v>
      </c>
      <c r="M583">
        <v>1305349200</v>
      </c>
      <c r="N583" s="19">
        <f t="shared" si="38"/>
        <v>40662.208333333336</v>
      </c>
      <c r="O583" s="19">
        <f t="shared" si="39"/>
        <v>40677.208333333336</v>
      </c>
      <c r="P583" t="b">
        <v>0</v>
      </c>
      <c r="Q583" t="b">
        <v>0</v>
      </c>
      <c r="R583" t="s">
        <v>28</v>
      </c>
      <c r="S583" t="s">
        <v>2035</v>
      </c>
      <c r="T583" t="s">
        <v>2036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>
        <f t="shared" si="36"/>
        <v>52</v>
      </c>
      <c r="G584" s="4" t="s">
        <v>14</v>
      </c>
      <c r="H584">
        <v>42</v>
      </c>
      <c r="I584">
        <f t="shared" si="37"/>
        <v>107.88</v>
      </c>
      <c r="J584" t="s">
        <v>21</v>
      </c>
      <c r="K584" t="s">
        <v>22</v>
      </c>
      <c r="L584">
        <v>1433912400</v>
      </c>
      <c r="M584">
        <v>1434344400</v>
      </c>
      <c r="N584" s="19">
        <f t="shared" si="38"/>
        <v>42165.208333333328</v>
      </c>
      <c r="O584" s="19">
        <f t="shared" si="39"/>
        <v>42170.208333333328</v>
      </c>
      <c r="P584" t="b">
        <v>0</v>
      </c>
      <c r="Q584" t="b">
        <v>1</v>
      </c>
      <c r="R584" t="s">
        <v>89</v>
      </c>
      <c r="S584" t="s">
        <v>2048</v>
      </c>
      <c r="T584" t="s">
        <v>2049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>
        <f t="shared" si="36"/>
        <v>322</v>
      </c>
      <c r="G585" s="5" t="s">
        <v>20</v>
      </c>
      <c r="H585">
        <v>909</v>
      </c>
      <c r="I585">
        <f t="shared" si="37"/>
        <v>67.03</v>
      </c>
      <c r="J585" t="s">
        <v>21</v>
      </c>
      <c r="K585" t="s">
        <v>22</v>
      </c>
      <c r="L585">
        <v>1329717600</v>
      </c>
      <c r="M585">
        <v>1331186400</v>
      </c>
      <c r="N585" s="19">
        <f t="shared" si="38"/>
        <v>40959.25</v>
      </c>
      <c r="O585" s="19">
        <f t="shared" si="39"/>
        <v>40976.25</v>
      </c>
      <c r="P585" t="b">
        <v>0</v>
      </c>
      <c r="Q585" t="b">
        <v>0</v>
      </c>
      <c r="R585" t="s">
        <v>42</v>
      </c>
      <c r="S585" t="s">
        <v>2039</v>
      </c>
      <c r="T585" t="s">
        <v>2040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>
        <f t="shared" si="36"/>
        <v>120</v>
      </c>
      <c r="G586" s="5" t="s">
        <v>20</v>
      </c>
      <c r="H586">
        <v>1613</v>
      </c>
      <c r="I586">
        <f t="shared" si="37"/>
        <v>64.010000000000005</v>
      </c>
      <c r="J586" t="s">
        <v>21</v>
      </c>
      <c r="K586" t="s">
        <v>22</v>
      </c>
      <c r="L586">
        <v>1335330000</v>
      </c>
      <c r="M586">
        <v>1336539600</v>
      </c>
      <c r="N586" s="19">
        <f t="shared" si="38"/>
        <v>41024.208333333336</v>
      </c>
      <c r="O586" s="19">
        <f t="shared" si="39"/>
        <v>41038.208333333336</v>
      </c>
      <c r="P586" t="b">
        <v>0</v>
      </c>
      <c r="Q586" t="b">
        <v>0</v>
      </c>
      <c r="R586" t="s">
        <v>28</v>
      </c>
      <c r="S586" t="s">
        <v>2035</v>
      </c>
      <c r="T586" t="s">
        <v>2036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>
        <f t="shared" si="36"/>
        <v>147</v>
      </c>
      <c r="G587" s="5" t="s">
        <v>20</v>
      </c>
      <c r="H587">
        <v>136</v>
      </c>
      <c r="I587">
        <f t="shared" si="37"/>
        <v>96.07</v>
      </c>
      <c r="J587" t="s">
        <v>21</v>
      </c>
      <c r="K587" t="s">
        <v>22</v>
      </c>
      <c r="L587">
        <v>1268888400</v>
      </c>
      <c r="M587">
        <v>1269752400</v>
      </c>
      <c r="N587" s="19">
        <f t="shared" si="38"/>
        <v>40255.208333333336</v>
      </c>
      <c r="O587" s="19">
        <f t="shared" si="39"/>
        <v>40265.208333333336</v>
      </c>
      <c r="P587" t="b">
        <v>0</v>
      </c>
      <c r="Q587" t="b">
        <v>0</v>
      </c>
      <c r="R587" t="s">
        <v>206</v>
      </c>
      <c r="S587" t="s">
        <v>2045</v>
      </c>
      <c r="T587" t="s">
        <v>2057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>
        <f t="shared" si="36"/>
        <v>951</v>
      </c>
      <c r="G588" s="5" t="s">
        <v>20</v>
      </c>
      <c r="H588">
        <v>130</v>
      </c>
      <c r="I588">
        <f t="shared" si="37"/>
        <v>51.18</v>
      </c>
      <c r="J588" t="s">
        <v>21</v>
      </c>
      <c r="K588" t="s">
        <v>22</v>
      </c>
      <c r="L588">
        <v>1289973600</v>
      </c>
      <c r="M588">
        <v>1291615200</v>
      </c>
      <c r="N588" s="19">
        <f t="shared" si="38"/>
        <v>40499.25</v>
      </c>
      <c r="O588" s="19">
        <f t="shared" si="39"/>
        <v>40518.25</v>
      </c>
      <c r="P588" t="b">
        <v>0</v>
      </c>
      <c r="Q588" t="b">
        <v>0</v>
      </c>
      <c r="R588" t="s">
        <v>23</v>
      </c>
      <c r="S588" t="s">
        <v>2033</v>
      </c>
      <c r="T588" t="s">
        <v>2034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>
        <f t="shared" si="36"/>
        <v>73</v>
      </c>
      <c r="G589" s="4" t="s">
        <v>14</v>
      </c>
      <c r="H589">
        <v>156</v>
      </c>
      <c r="I589">
        <f t="shared" si="37"/>
        <v>43.92</v>
      </c>
      <c r="J589" t="s">
        <v>15</v>
      </c>
      <c r="K589" t="s">
        <v>16</v>
      </c>
      <c r="L589">
        <v>1547877600</v>
      </c>
      <c r="M589">
        <v>1552366800</v>
      </c>
      <c r="N589" s="19">
        <f t="shared" si="38"/>
        <v>43484.25</v>
      </c>
      <c r="O589" s="19">
        <f t="shared" si="39"/>
        <v>43536.208333333328</v>
      </c>
      <c r="P589" t="b">
        <v>0</v>
      </c>
      <c r="Q589" t="b">
        <v>1</v>
      </c>
      <c r="R589" t="s">
        <v>17</v>
      </c>
      <c r="S589" t="s">
        <v>2031</v>
      </c>
      <c r="T589" t="s">
        <v>2032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>
        <f t="shared" si="36"/>
        <v>79</v>
      </c>
      <c r="G590" s="4" t="s">
        <v>14</v>
      </c>
      <c r="H590">
        <v>1368</v>
      </c>
      <c r="I590">
        <f t="shared" si="37"/>
        <v>91.02</v>
      </c>
      <c r="J590" t="s">
        <v>40</v>
      </c>
      <c r="K590" t="s">
        <v>41</v>
      </c>
      <c r="L590">
        <v>1269493200</v>
      </c>
      <c r="M590">
        <v>1272171600</v>
      </c>
      <c r="N590" s="19">
        <f t="shared" si="38"/>
        <v>40262.208333333336</v>
      </c>
      <c r="O590" s="19">
        <f t="shared" si="39"/>
        <v>40293.208333333336</v>
      </c>
      <c r="P590" t="b">
        <v>0</v>
      </c>
      <c r="Q590" t="b">
        <v>0</v>
      </c>
      <c r="R590" t="s">
        <v>33</v>
      </c>
      <c r="S590" t="s">
        <v>2037</v>
      </c>
      <c r="T590" t="s">
        <v>2038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>
        <f t="shared" si="36"/>
        <v>65</v>
      </c>
      <c r="G591" s="4" t="s">
        <v>14</v>
      </c>
      <c r="H591">
        <v>102</v>
      </c>
      <c r="I591">
        <f t="shared" si="37"/>
        <v>50.13</v>
      </c>
      <c r="J591" t="s">
        <v>21</v>
      </c>
      <c r="K591" t="s">
        <v>22</v>
      </c>
      <c r="L591">
        <v>1436072400</v>
      </c>
      <c r="M591">
        <v>1436677200</v>
      </c>
      <c r="N591" s="19">
        <f t="shared" si="38"/>
        <v>42190.208333333328</v>
      </c>
      <c r="O591" s="19">
        <f t="shared" si="39"/>
        <v>42197.208333333328</v>
      </c>
      <c r="P591" t="b">
        <v>0</v>
      </c>
      <c r="Q591" t="b">
        <v>0</v>
      </c>
      <c r="R591" t="s">
        <v>42</v>
      </c>
      <c r="S591" t="s">
        <v>2039</v>
      </c>
      <c r="T591" t="s">
        <v>2040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>
        <f t="shared" si="36"/>
        <v>82</v>
      </c>
      <c r="G592" s="4" t="s">
        <v>14</v>
      </c>
      <c r="H592">
        <v>86</v>
      </c>
      <c r="I592">
        <f t="shared" si="37"/>
        <v>67.72</v>
      </c>
      <c r="J592" t="s">
        <v>26</v>
      </c>
      <c r="K592" t="s">
        <v>27</v>
      </c>
      <c r="L592">
        <v>1419141600</v>
      </c>
      <c r="M592">
        <v>1420092000</v>
      </c>
      <c r="N592" s="19">
        <f t="shared" si="38"/>
        <v>41994.25</v>
      </c>
      <c r="O592" s="19">
        <f t="shared" si="39"/>
        <v>42005.25</v>
      </c>
      <c r="P592" t="b">
        <v>0</v>
      </c>
      <c r="Q592" t="b">
        <v>0</v>
      </c>
      <c r="R592" t="s">
        <v>133</v>
      </c>
      <c r="S592" t="s">
        <v>2045</v>
      </c>
      <c r="T592" t="s">
        <v>2054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>
        <f t="shared" si="36"/>
        <v>1038</v>
      </c>
      <c r="G593" s="5" t="s">
        <v>20</v>
      </c>
      <c r="H593">
        <v>102</v>
      </c>
      <c r="I593">
        <f t="shared" si="37"/>
        <v>61.04</v>
      </c>
      <c r="J593" t="s">
        <v>21</v>
      </c>
      <c r="K593" t="s">
        <v>22</v>
      </c>
      <c r="L593">
        <v>1279083600</v>
      </c>
      <c r="M593">
        <v>1279947600</v>
      </c>
      <c r="N593" s="19">
        <f t="shared" si="38"/>
        <v>40373.208333333336</v>
      </c>
      <c r="O593" s="19">
        <f t="shared" si="39"/>
        <v>40383.208333333336</v>
      </c>
      <c r="P593" t="b">
        <v>0</v>
      </c>
      <c r="Q593" t="b">
        <v>0</v>
      </c>
      <c r="R593" t="s">
        <v>89</v>
      </c>
      <c r="S593" t="s">
        <v>2048</v>
      </c>
      <c r="T593" t="s">
        <v>2049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>
        <f t="shared" si="36"/>
        <v>13</v>
      </c>
      <c r="G594" s="4" t="s">
        <v>14</v>
      </c>
      <c r="H594">
        <v>253</v>
      </c>
      <c r="I594">
        <f t="shared" si="37"/>
        <v>80.010000000000005</v>
      </c>
      <c r="J594" t="s">
        <v>21</v>
      </c>
      <c r="K594" t="s">
        <v>22</v>
      </c>
      <c r="L594">
        <v>1401426000</v>
      </c>
      <c r="M594">
        <v>1402203600</v>
      </c>
      <c r="N594" s="19">
        <f t="shared" si="38"/>
        <v>41789.208333333336</v>
      </c>
      <c r="O594" s="19">
        <f t="shared" si="39"/>
        <v>41798.208333333336</v>
      </c>
      <c r="P594" t="b">
        <v>0</v>
      </c>
      <c r="Q594" t="b">
        <v>0</v>
      </c>
      <c r="R594" t="s">
        <v>33</v>
      </c>
      <c r="S594" t="s">
        <v>2037</v>
      </c>
      <c r="T594" t="s">
        <v>2038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>
        <f t="shared" si="36"/>
        <v>155</v>
      </c>
      <c r="G595" s="5" t="s">
        <v>20</v>
      </c>
      <c r="H595">
        <v>4006</v>
      </c>
      <c r="I595">
        <f t="shared" si="37"/>
        <v>47</v>
      </c>
      <c r="J595" t="s">
        <v>21</v>
      </c>
      <c r="K595" t="s">
        <v>22</v>
      </c>
      <c r="L595">
        <v>1395810000</v>
      </c>
      <c r="M595">
        <v>1396933200</v>
      </c>
      <c r="N595" s="19">
        <f t="shared" si="38"/>
        <v>41724.208333333336</v>
      </c>
      <c r="O595" s="19">
        <f t="shared" si="39"/>
        <v>41737.208333333336</v>
      </c>
      <c r="P595" t="b">
        <v>0</v>
      </c>
      <c r="Q595" t="b">
        <v>0</v>
      </c>
      <c r="R595" t="s">
        <v>71</v>
      </c>
      <c r="S595" t="s">
        <v>2039</v>
      </c>
      <c r="T595" t="s">
        <v>2047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>
        <f t="shared" si="36"/>
        <v>7</v>
      </c>
      <c r="G596" s="4" t="s">
        <v>14</v>
      </c>
      <c r="H596">
        <v>157</v>
      </c>
      <c r="I596">
        <f t="shared" si="37"/>
        <v>71.13</v>
      </c>
      <c r="J596" t="s">
        <v>21</v>
      </c>
      <c r="K596" t="s">
        <v>22</v>
      </c>
      <c r="L596">
        <v>1467003600</v>
      </c>
      <c r="M596">
        <v>1467262800</v>
      </c>
      <c r="N596" s="19">
        <f t="shared" si="38"/>
        <v>42548.208333333328</v>
      </c>
      <c r="O596" s="19">
        <f t="shared" si="39"/>
        <v>42551.208333333328</v>
      </c>
      <c r="P596" t="b">
        <v>0</v>
      </c>
      <c r="Q596" t="b">
        <v>1</v>
      </c>
      <c r="R596" t="s">
        <v>33</v>
      </c>
      <c r="S596" t="s">
        <v>2037</v>
      </c>
      <c r="T596" t="s">
        <v>2038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>
        <f t="shared" si="36"/>
        <v>209</v>
      </c>
      <c r="G597" s="5" t="s">
        <v>20</v>
      </c>
      <c r="H597">
        <v>1629</v>
      </c>
      <c r="I597">
        <f t="shared" si="37"/>
        <v>89.99</v>
      </c>
      <c r="J597" t="s">
        <v>21</v>
      </c>
      <c r="K597" t="s">
        <v>22</v>
      </c>
      <c r="L597">
        <v>1268715600</v>
      </c>
      <c r="M597">
        <v>1270530000</v>
      </c>
      <c r="N597" s="19">
        <f t="shared" si="38"/>
        <v>40253.208333333336</v>
      </c>
      <c r="O597" s="19">
        <f t="shared" si="39"/>
        <v>40274.208333333336</v>
      </c>
      <c r="P597" t="b">
        <v>0</v>
      </c>
      <c r="Q597" t="b">
        <v>1</v>
      </c>
      <c r="R597" t="s">
        <v>33</v>
      </c>
      <c r="S597" t="s">
        <v>2037</v>
      </c>
      <c r="T597" t="s">
        <v>2038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>
        <f t="shared" si="36"/>
        <v>100</v>
      </c>
      <c r="G598" s="4" t="s">
        <v>14</v>
      </c>
      <c r="H598">
        <v>183</v>
      </c>
      <c r="I598">
        <f t="shared" si="37"/>
        <v>43.03</v>
      </c>
      <c r="J598" t="s">
        <v>21</v>
      </c>
      <c r="K598" t="s">
        <v>22</v>
      </c>
      <c r="L598">
        <v>1457157600</v>
      </c>
      <c r="M598">
        <v>1457762400</v>
      </c>
      <c r="N598" s="19">
        <f t="shared" si="38"/>
        <v>42434.25</v>
      </c>
      <c r="O598" s="19">
        <f t="shared" si="39"/>
        <v>42441.25</v>
      </c>
      <c r="P598" t="b">
        <v>0</v>
      </c>
      <c r="Q598" t="b">
        <v>1</v>
      </c>
      <c r="R598" t="s">
        <v>53</v>
      </c>
      <c r="S598" t="s">
        <v>2039</v>
      </c>
      <c r="T598" t="s">
        <v>2042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>
        <f t="shared" si="36"/>
        <v>202</v>
      </c>
      <c r="G599" s="5" t="s">
        <v>20</v>
      </c>
      <c r="H599">
        <v>2188</v>
      </c>
      <c r="I599">
        <f t="shared" si="37"/>
        <v>68</v>
      </c>
      <c r="J599" t="s">
        <v>21</v>
      </c>
      <c r="K599" t="s">
        <v>22</v>
      </c>
      <c r="L599">
        <v>1573970400</v>
      </c>
      <c r="M599">
        <v>1575525600</v>
      </c>
      <c r="N599" s="19">
        <f t="shared" si="38"/>
        <v>43786.25</v>
      </c>
      <c r="O599" s="19">
        <f t="shared" si="39"/>
        <v>43804.25</v>
      </c>
      <c r="P599" t="b">
        <v>0</v>
      </c>
      <c r="Q599" t="b">
        <v>0</v>
      </c>
      <c r="R599" t="s">
        <v>33</v>
      </c>
      <c r="S599" t="s">
        <v>2037</v>
      </c>
      <c r="T599" t="s">
        <v>2038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>
        <f t="shared" si="36"/>
        <v>162</v>
      </c>
      <c r="G600" s="5" t="s">
        <v>20</v>
      </c>
      <c r="H600">
        <v>2409</v>
      </c>
      <c r="I600">
        <f t="shared" si="37"/>
        <v>73</v>
      </c>
      <c r="J600" t="s">
        <v>107</v>
      </c>
      <c r="K600" t="s">
        <v>108</v>
      </c>
      <c r="L600">
        <v>1276578000</v>
      </c>
      <c r="M600">
        <v>1279083600</v>
      </c>
      <c r="N600" s="19">
        <f t="shared" si="38"/>
        <v>40344.208333333336</v>
      </c>
      <c r="O600" s="19">
        <f t="shared" si="39"/>
        <v>40373.208333333336</v>
      </c>
      <c r="P600" t="b">
        <v>0</v>
      </c>
      <c r="Q600" t="b">
        <v>0</v>
      </c>
      <c r="R600" t="s">
        <v>23</v>
      </c>
      <c r="S600" t="s">
        <v>2033</v>
      </c>
      <c r="T600" t="s">
        <v>2034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>
        <f t="shared" si="36"/>
        <v>4</v>
      </c>
      <c r="G601" s="4" t="s">
        <v>14</v>
      </c>
      <c r="H601">
        <v>82</v>
      </c>
      <c r="I601">
        <f t="shared" si="37"/>
        <v>62.34</v>
      </c>
      <c r="J601" t="s">
        <v>36</v>
      </c>
      <c r="K601" t="s">
        <v>37</v>
      </c>
      <c r="L601">
        <v>1423720800</v>
      </c>
      <c r="M601">
        <v>1424412000</v>
      </c>
      <c r="N601" s="19">
        <f t="shared" si="38"/>
        <v>42047.25</v>
      </c>
      <c r="O601" s="19">
        <f t="shared" si="39"/>
        <v>42055.25</v>
      </c>
      <c r="P601" t="b">
        <v>0</v>
      </c>
      <c r="Q601" t="b">
        <v>0</v>
      </c>
      <c r="R601" t="s">
        <v>42</v>
      </c>
      <c r="S601" t="s">
        <v>2039</v>
      </c>
      <c r="T601" t="s">
        <v>2040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>
        <f t="shared" si="36"/>
        <v>5</v>
      </c>
      <c r="G602" s="4" t="s">
        <v>14</v>
      </c>
      <c r="H602">
        <v>1</v>
      </c>
      <c r="I602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s="19">
        <f t="shared" si="38"/>
        <v>41485.208333333336</v>
      </c>
      <c r="O602" s="19">
        <f t="shared" si="39"/>
        <v>41497.208333333336</v>
      </c>
      <c r="P602" t="b">
        <v>0</v>
      </c>
      <c r="Q602" t="b">
        <v>0</v>
      </c>
      <c r="R602" t="s">
        <v>17</v>
      </c>
      <c r="S602" t="s">
        <v>2031</v>
      </c>
      <c r="T602" t="s">
        <v>2032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>
        <f t="shared" si="36"/>
        <v>207</v>
      </c>
      <c r="G603" s="5" t="s">
        <v>20</v>
      </c>
      <c r="H603">
        <v>194</v>
      </c>
      <c r="I603">
        <f t="shared" si="37"/>
        <v>67.099999999999994</v>
      </c>
      <c r="J603" t="s">
        <v>21</v>
      </c>
      <c r="K603" t="s">
        <v>22</v>
      </c>
      <c r="L603">
        <v>1401426000</v>
      </c>
      <c r="M603">
        <v>1402894800</v>
      </c>
      <c r="N603" s="19">
        <f t="shared" si="38"/>
        <v>41789.208333333336</v>
      </c>
      <c r="O603" s="19">
        <f t="shared" si="39"/>
        <v>41806.208333333336</v>
      </c>
      <c r="P603" t="b">
        <v>1</v>
      </c>
      <c r="Q603" t="b">
        <v>0</v>
      </c>
      <c r="R603" t="s">
        <v>65</v>
      </c>
      <c r="S603" t="s">
        <v>2035</v>
      </c>
      <c r="T603" t="s">
        <v>2044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>
        <f t="shared" si="36"/>
        <v>128</v>
      </c>
      <c r="G604" s="5" t="s">
        <v>20</v>
      </c>
      <c r="H604">
        <v>1140</v>
      </c>
      <c r="I604">
        <f t="shared" si="37"/>
        <v>79.98</v>
      </c>
      <c r="J604" t="s">
        <v>21</v>
      </c>
      <c r="K604" t="s">
        <v>22</v>
      </c>
      <c r="L604">
        <v>1433480400</v>
      </c>
      <c r="M604">
        <v>1434430800</v>
      </c>
      <c r="N604" s="19">
        <f t="shared" si="38"/>
        <v>42160.208333333328</v>
      </c>
      <c r="O604" s="19">
        <f t="shared" si="39"/>
        <v>42171.208333333328</v>
      </c>
      <c r="P604" t="b">
        <v>0</v>
      </c>
      <c r="Q604" t="b">
        <v>0</v>
      </c>
      <c r="R604" t="s">
        <v>33</v>
      </c>
      <c r="S604" t="s">
        <v>2037</v>
      </c>
      <c r="T604" t="s">
        <v>2038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>
        <f t="shared" si="36"/>
        <v>120</v>
      </c>
      <c r="G605" s="5" t="s">
        <v>20</v>
      </c>
      <c r="H605">
        <v>102</v>
      </c>
      <c r="I605">
        <f t="shared" si="37"/>
        <v>62.18</v>
      </c>
      <c r="J605" t="s">
        <v>21</v>
      </c>
      <c r="K605" t="s">
        <v>22</v>
      </c>
      <c r="L605">
        <v>1555563600</v>
      </c>
      <c r="M605">
        <v>1557896400</v>
      </c>
      <c r="N605" s="19">
        <f t="shared" si="38"/>
        <v>43573.208333333328</v>
      </c>
      <c r="O605" s="19">
        <f t="shared" si="39"/>
        <v>43600.208333333328</v>
      </c>
      <c r="P605" t="b">
        <v>0</v>
      </c>
      <c r="Q605" t="b">
        <v>0</v>
      </c>
      <c r="R605" t="s">
        <v>33</v>
      </c>
      <c r="S605" t="s">
        <v>2037</v>
      </c>
      <c r="T605" t="s">
        <v>2038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>
        <f t="shared" si="36"/>
        <v>171</v>
      </c>
      <c r="G606" s="5" t="s">
        <v>20</v>
      </c>
      <c r="H606">
        <v>2857</v>
      </c>
      <c r="I606">
        <f t="shared" si="37"/>
        <v>53.01</v>
      </c>
      <c r="J606" t="s">
        <v>21</v>
      </c>
      <c r="K606" t="s">
        <v>22</v>
      </c>
      <c r="L606">
        <v>1295676000</v>
      </c>
      <c r="M606">
        <v>1297490400</v>
      </c>
      <c r="N606" s="19">
        <f t="shared" si="38"/>
        <v>40565.25</v>
      </c>
      <c r="O606" s="19">
        <f t="shared" si="39"/>
        <v>40586.25</v>
      </c>
      <c r="P606" t="b">
        <v>0</v>
      </c>
      <c r="Q606" t="b">
        <v>0</v>
      </c>
      <c r="R606" t="s">
        <v>33</v>
      </c>
      <c r="S606" t="s">
        <v>2037</v>
      </c>
      <c r="T606" t="s">
        <v>2038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>
        <f t="shared" si="36"/>
        <v>187</v>
      </c>
      <c r="G607" s="5" t="s">
        <v>20</v>
      </c>
      <c r="H607">
        <v>107</v>
      </c>
      <c r="I607">
        <f t="shared" si="37"/>
        <v>57.74</v>
      </c>
      <c r="J607" t="s">
        <v>21</v>
      </c>
      <c r="K607" t="s">
        <v>22</v>
      </c>
      <c r="L607">
        <v>1443848400</v>
      </c>
      <c r="M607">
        <v>1447394400</v>
      </c>
      <c r="N607" s="19">
        <f t="shared" si="38"/>
        <v>42280.208333333328</v>
      </c>
      <c r="O607" s="19">
        <f t="shared" si="39"/>
        <v>42321.25</v>
      </c>
      <c r="P607" t="b">
        <v>0</v>
      </c>
      <c r="Q607" t="b">
        <v>0</v>
      </c>
      <c r="R607" t="s">
        <v>68</v>
      </c>
      <c r="S607" t="s">
        <v>2045</v>
      </c>
      <c r="T607" t="s">
        <v>2046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>
        <f t="shared" si="36"/>
        <v>188</v>
      </c>
      <c r="G608" s="5" t="s">
        <v>20</v>
      </c>
      <c r="H608">
        <v>160</v>
      </c>
      <c r="I608">
        <f t="shared" si="37"/>
        <v>40.03</v>
      </c>
      <c r="J608" t="s">
        <v>40</v>
      </c>
      <c r="K608" t="s">
        <v>41</v>
      </c>
      <c r="L608">
        <v>1457330400</v>
      </c>
      <c r="M608">
        <v>1458277200</v>
      </c>
      <c r="N608" s="19">
        <f t="shared" si="38"/>
        <v>42436.25</v>
      </c>
      <c r="O608" s="19">
        <f t="shared" si="39"/>
        <v>42447.208333333328</v>
      </c>
      <c r="P608" t="b">
        <v>0</v>
      </c>
      <c r="Q608" t="b">
        <v>0</v>
      </c>
      <c r="R608" t="s">
        <v>23</v>
      </c>
      <c r="S608" t="s">
        <v>2033</v>
      </c>
      <c r="T608" t="s">
        <v>2034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>
        <f t="shared" si="36"/>
        <v>131</v>
      </c>
      <c r="G609" s="5" t="s">
        <v>20</v>
      </c>
      <c r="H609">
        <v>2230</v>
      </c>
      <c r="I609">
        <f t="shared" si="37"/>
        <v>81.02</v>
      </c>
      <c r="J609" t="s">
        <v>21</v>
      </c>
      <c r="K609" t="s">
        <v>22</v>
      </c>
      <c r="L609">
        <v>1395550800</v>
      </c>
      <c r="M609">
        <v>1395723600</v>
      </c>
      <c r="N609" s="19">
        <f t="shared" si="38"/>
        <v>41721.208333333336</v>
      </c>
      <c r="O609" s="19">
        <f t="shared" si="39"/>
        <v>41723.208333333336</v>
      </c>
      <c r="P609" t="b">
        <v>0</v>
      </c>
      <c r="Q609" t="b">
        <v>0</v>
      </c>
      <c r="R609" t="s">
        <v>17</v>
      </c>
      <c r="S609" t="s">
        <v>2031</v>
      </c>
      <c r="T609" t="s">
        <v>2032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>
        <f t="shared" si="36"/>
        <v>284</v>
      </c>
      <c r="G610" s="5" t="s">
        <v>20</v>
      </c>
      <c r="H610">
        <v>316</v>
      </c>
      <c r="I610">
        <f t="shared" si="37"/>
        <v>35.049999999999997</v>
      </c>
      <c r="J610" t="s">
        <v>21</v>
      </c>
      <c r="K610" t="s">
        <v>22</v>
      </c>
      <c r="L610">
        <v>1551852000</v>
      </c>
      <c r="M610">
        <v>1552197600</v>
      </c>
      <c r="N610" s="19">
        <f t="shared" si="38"/>
        <v>43530.25</v>
      </c>
      <c r="O610" s="19">
        <f t="shared" si="39"/>
        <v>43534.25</v>
      </c>
      <c r="P610" t="b">
        <v>0</v>
      </c>
      <c r="Q610" t="b">
        <v>1</v>
      </c>
      <c r="R610" t="s">
        <v>159</v>
      </c>
      <c r="S610" t="s">
        <v>2033</v>
      </c>
      <c r="T610" t="s">
        <v>2056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>
        <f t="shared" si="36"/>
        <v>120</v>
      </c>
      <c r="G611" s="5" t="s">
        <v>20</v>
      </c>
      <c r="H611">
        <v>117</v>
      </c>
      <c r="I611">
        <f t="shared" si="37"/>
        <v>102.92</v>
      </c>
      <c r="J611" t="s">
        <v>21</v>
      </c>
      <c r="K611" t="s">
        <v>22</v>
      </c>
      <c r="L611">
        <v>1547618400</v>
      </c>
      <c r="M611">
        <v>1549087200</v>
      </c>
      <c r="N611" s="19">
        <f t="shared" si="38"/>
        <v>43481.25</v>
      </c>
      <c r="O611" s="19">
        <f t="shared" si="39"/>
        <v>43498.25</v>
      </c>
      <c r="P611" t="b">
        <v>0</v>
      </c>
      <c r="Q611" t="b">
        <v>0</v>
      </c>
      <c r="R611" t="s">
        <v>474</v>
      </c>
      <c r="S611" t="s">
        <v>2039</v>
      </c>
      <c r="T611" t="s">
        <v>2061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>
        <f t="shared" si="36"/>
        <v>419</v>
      </c>
      <c r="G612" s="5" t="s">
        <v>20</v>
      </c>
      <c r="H612">
        <v>6406</v>
      </c>
      <c r="I612">
        <f t="shared" si="37"/>
        <v>28</v>
      </c>
      <c r="J612" t="s">
        <v>21</v>
      </c>
      <c r="K612" t="s">
        <v>22</v>
      </c>
      <c r="L612">
        <v>1355637600</v>
      </c>
      <c r="M612">
        <v>1356847200</v>
      </c>
      <c r="N612" s="19">
        <f t="shared" si="38"/>
        <v>41259.25</v>
      </c>
      <c r="O612" s="19">
        <f t="shared" si="39"/>
        <v>41273.25</v>
      </c>
      <c r="P612" t="b">
        <v>0</v>
      </c>
      <c r="Q612" t="b">
        <v>0</v>
      </c>
      <c r="R612" t="s">
        <v>33</v>
      </c>
      <c r="S612" t="s">
        <v>2037</v>
      </c>
      <c r="T612" t="s">
        <v>2038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>
        <f t="shared" si="36"/>
        <v>14</v>
      </c>
      <c r="G613" s="7" t="s">
        <v>74</v>
      </c>
      <c r="H613">
        <v>15</v>
      </c>
      <c r="I613">
        <f t="shared" si="37"/>
        <v>75.73</v>
      </c>
      <c r="J613" t="s">
        <v>21</v>
      </c>
      <c r="K613" t="s">
        <v>22</v>
      </c>
      <c r="L613">
        <v>1374728400</v>
      </c>
      <c r="M613">
        <v>1375765200</v>
      </c>
      <c r="N613" s="19">
        <f t="shared" si="38"/>
        <v>41480.208333333336</v>
      </c>
      <c r="O613" s="19">
        <f t="shared" si="39"/>
        <v>41492.208333333336</v>
      </c>
      <c r="P613" t="b">
        <v>0</v>
      </c>
      <c r="Q613" t="b">
        <v>0</v>
      </c>
      <c r="R613" t="s">
        <v>33</v>
      </c>
      <c r="S613" t="s">
        <v>2037</v>
      </c>
      <c r="T613" t="s">
        <v>2038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>
        <f t="shared" si="36"/>
        <v>139</v>
      </c>
      <c r="G614" s="5" t="s">
        <v>20</v>
      </c>
      <c r="H614">
        <v>192</v>
      </c>
      <c r="I614">
        <f t="shared" si="37"/>
        <v>45.03</v>
      </c>
      <c r="J614" t="s">
        <v>21</v>
      </c>
      <c r="K614" t="s">
        <v>22</v>
      </c>
      <c r="L614">
        <v>1287810000</v>
      </c>
      <c r="M614">
        <v>1289800800</v>
      </c>
      <c r="N614" s="19">
        <f t="shared" si="38"/>
        <v>40474.208333333336</v>
      </c>
      <c r="O614" s="19">
        <f t="shared" si="39"/>
        <v>40497.25</v>
      </c>
      <c r="P614" t="b">
        <v>0</v>
      </c>
      <c r="Q614" t="b">
        <v>0</v>
      </c>
      <c r="R614" t="s">
        <v>50</v>
      </c>
      <c r="S614" t="s">
        <v>2033</v>
      </c>
      <c r="T614" t="s">
        <v>2041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>
        <f t="shared" si="36"/>
        <v>174</v>
      </c>
      <c r="G615" s="5" t="s">
        <v>20</v>
      </c>
      <c r="H615">
        <v>26</v>
      </c>
      <c r="I615">
        <f t="shared" si="37"/>
        <v>73.62</v>
      </c>
      <c r="J615" t="s">
        <v>15</v>
      </c>
      <c r="K615" t="s">
        <v>16</v>
      </c>
      <c r="L615">
        <v>1503723600</v>
      </c>
      <c r="M615">
        <v>1504501200</v>
      </c>
      <c r="N615" s="19">
        <f t="shared" si="38"/>
        <v>42973.208333333328</v>
      </c>
      <c r="O615" s="19">
        <f t="shared" si="39"/>
        <v>42982.208333333328</v>
      </c>
      <c r="P615" t="b">
        <v>0</v>
      </c>
      <c r="Q615" t="b">
        <v>0</v>
      </c>
      <c r="R615" t="s">
        <v>33</v>
      </c>
      <c r="S615" t="s">
        <v>2037</v>
      </c>
      <c r="T615" t="s">
        <v>2038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>
        <f t="shared" si="36"/>
        <v>155</v>
      </c>
      <c r="G616" s="5" t="s">
        <v>20</v>
      </c>
      <c r="H616">
        <v>723</v>
      </c>
      <c r="I616">
        <f t="shared" si="37"/>
        <v>56.99</v>
      </c>
      <c r="J616" t="s">
        <v>21</v>
      </c>
      <c r="K616" t="s">
        <v>22</v>
      </c>
      <c r="L616">
        <v>1484114400</v>
      </c>
      <c r="M616">
        <v>1485669600</v>
      </c>
      <c r="N616" s="19">
        <f t="shared" si="38"/>
        <v>42746.25</v>
      </c>
      <c r="O616" s="19">
        <f t="shared" si="39"/>
        <v>42764.25</v>
      </c>
      <c r="P616" t="b">
        <v>0</v>
      </c>
      <c r="Q616" t="b">
        <v>0</v>
      </c>
      <c r="R616" t="s">
        <v>33</v>
      </c>
      <c r="S616" t="s">
        <v>2037</v>
      </c>
      <c r="T616" t="s">
        <v>2038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>
        <f t="shared" si="36"/>
        <v>170</v>
      </c>
      <c r="G617" s="5" t="s">
        <v>20</v>
      </c>
      <c r="H617">
        <v>170</v>
      </c>
      <c r="I617">
        <f t="shared" si="37"/>
        <v>85.22</v>
      </c>
      <c r="J617" t="s">
        <v>107</v>
      </c>
      <c r="K617" t="s">
        <v>108</v>
      </c>
      <c r="L617">
        <v>1461906000</v>
      </c>
      <c r="M617">
        <v>1462770000</v>
      </c>
      <c r="N617" s="19">
        <f t="shared" si="38"/>
        <v>42489.208333333328</v>
      </c>
      <c r="O617" s="19">
        <f t="shared" si="39"/>
        <v>42499.208333333328</v>
      </c>
      <c r="P617" t="b">
        <v>0</v>
      </c>
      <c r="Q617" t="b">
        <v>0</v>
      </c>
      <c r="R617" t="s">
        <v>33</v>
      </c>
      <c r="S617" t="s">
        <v>2037</v>
      </c>
      <c r="T617" t="s">
        <v>2038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>
        <f t="shared" si="36"/>
        <v>190</v>
      </c>
      <c r="G618" s="5" t="s">
        <v>20</v>
      </c>
      <c r="H618">
        <v>238</v>
      </c>
      <c r="I618">
        <f t="shared" si="37"/>
        <v>50.96</v>
      </c>
      <c r="J618" t="s">
        <v>40</v>
      </c>
      <c r="K618" t="s">
        <v>41</v>
      </c>
      <c r="L618">
        <v>1379653200</v>
      </c>
      <c r="M618">
        <v>1379739600</v>
      </c>
      <c r="N618" s="19">
        <f t="shared" si="38"/>
        <v>41537.208333333336</v>
      </c>
      <c r="O618" s="19">
        <f t="shared" si="39"/>
        <v>41538.208333333336</v>
      </c>
      <c r="P618" t="b">
        <v>0</v>
      </c>
      <c r="Q618" t="b">
        <v>1</v>
      </c>
      <c r="R618" t="s">
        <v>60</v>
      </c>
      <c r="S618" t="s">
        <v>2033</v>
      </c>
      <c r="T618" t="s">
        <v>2043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>
        <f t="shared" si="36"/>
        <v>250</v>
      </c>
      <c r="G619" s="5" t="s">
        <v>20</v>
      </c>
      <c r="H619">
        <v>55</v>
      </c>
      <c r="I619">
        <f t="shared" si="37"/>
        <v>63.56</v>
      </c>
      <c r="J619" t="s">
        <v>21</v>
      </c>
      <c r="K619" t="s">
        <v>22</v>
      </c>
      <c r="L619">
        <v>1401858000</v>
      </c>
      <c r="M619">
        <v>1402722000</v>
      </c>
      <c r="N619" s="19">
        <f t="shared" si="38"/>
        <v>41794.208333333336</v>
      </c>
      <c r="O619" s="19">
        <f t="shared" si="39"/>
        <v>41804.208333333336</v>
      </c>
      <c r="P619" t="b">
        <v>0</v>
      </c>
      <c r="Q619" t="b">
        <v>0</v>
      </c>
      <c r="R619" t="s">
        <v>33</v>
      </c>
      <c r="S619" t="s">
        <v>2037</v>
      </c>
      <c r="T619" t="s">
        <v>2038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>
        <f t="shared" si="36"/>
        <v>49</v>
      </c>
      <c r="G620" s="4" t="s">
        <v>14</v>
      </c>
      <c r="H620">
        <v>1198</v>
      </c>
      <c r="I620">
        <f t="shared" si="37"/>
        <v>81</v>
      </c>
      <c r="J620" t="s">
        <v>21</v>
      </c>
      <c r="K620" t="s">
        <v>22</v>
      </c>
      <c r="L620">
        <v>1367470800</v>
      </c>
      <c r="M620">
        <v>1369285200</v>
      </c>
      <c r="N620" s="19">
        <f t="shared" si="38"/>
        <v>41396.208333333336</v>
      </c>
      <c r="O620" s="19">
        <f t="shared" si="39"/>
        <v>41417.208333333336</v>
      </c>
      <c r="P620" t="b">
        <v>0</v>
      </c>
      <c r="Q620" t="b">
        <v>0</v>
      </c>
      <c r="R620" t="s">
        <v>68</v>
      </c>
      <c r="S620" t="s">
        <v>2045</v>
      </c>
      <c r="T620" t="s">
        <v>2046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>
        <f t="shared" si="36"/>
        <v>28</v>
      </c>
      <c r="G621" s="4" t="s">
        <v>14</v>
      </c>
      <c r="H621">
        <v>648</v>
      </c>
      <c r="I621">
        <f t="shared" si="37"/>
        <v>86.04</v>
      </c>
      <c r="J621" t="s">
        <v>21</v>
      </c>
      <c r="K621" t="s">
        <v>22</v>
      </c>
      <c r="L621">
        <v>1304658000</v>
      </c>
      <c r="M621">
        <v>1304744400</v>
      </c>
      <c r="N621" s="19">
        <f t="shared" si="38"/>
        <v>40669.208333333336</v>
      </c>
      <c r="O621" s="19">
        <f t="shared" si="39"/>
        <v>40670.208333333336</v>
      </c>
      <c r="P621" t="b">
        <v>1</v>
      </c>
      <c r="Q621" t="b">
        <v>1</v>
      </c>
      <c r="R621" t="s">
        <v>33</v>
      </c>
      <c r="S621" t="s">
        <v>2037</v>
      </c>
      <c r="T621" t="s">
        <v>2038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>
        <f t="shared" si="36"/>
        <v>268</v>
      </c>
      <c r="G622" s="5" t="s">
        <v>20</v>
      </c>
      <c r="H622">
        <v>128</v>
      </c>
      <c r="I622">
        <f t="shared" si="37"/>
        <v>90.04</v>
      </c>
      <c r="J622" t="s">
        <v>26</v>
      </c>
      <c r="K622" t="s">
        <v>27</v>
      </c>
      <c r="L622">
        <v>1467954000</v>
      </c>
      <c r="M622">
        <v>1468299600</v>
      </c>
      <c r="N622" s="19">
        <f t="shared" si="38"/>
        <v>42559.208333333328</v>
      </c>
      <c r="O622" s="19">
        <f t="shared" si="39"/>
        <v>42563.208333333328</v>
      </c>
      <c r="P622" t="b">
        <v>0</v>
      </c>
      <c r="Q622" t="b">
        <v>0</v>
      </c>
      <c r="R622" t="s">
        <v>122</v>
      </c>
      <c r="S622" t="s">
        <v>2052</v>
      </c>
      <c r="T622" t="s">
        <v>2053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>
        <f t="shared" si="36"/>
        <v>620</v>
      </c>
      <c r="G623" s="5" t="s">
        <v>20</v>
      </c>
      <c r="H623">
        <v>2144</v>
      </c>
      <c r="I623">
        <f t="shared" si="37"/>
        <v>74.010000000000005</v>
      </c>
      <c r="J623" t="s">
        <v>21</v>
      </c>
      <c r="K623" t="s">
        <v>22</v>
      </c>
      <c r="L623">
        <v>1473742800</v>
      </c>
      <c r="M623">
        <v>1474174800</v>
      </c>
      <c r="N623" s="19">
        <f t="shared" si="38"/>
        <v>42626.208333333328</v>
      </c>
      <c r="O623" s="19">
        <f t="shared" si="39"/>
        <v>42631.208333333328</v>
      </c>
      <c r="P623" t="b">
        <v>0</v>
      </c>
      <c r="Q623" t="b">
        <v>0</v>
      </c>
      <c r="R623" t="s">
        <v>33</v>
      </c>
      <c r="S623" t="s">
        <v>2037</v>
      </c>
      <c r="T623" t="s">
        <v>2038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>
        <f t="shared" si="36"/>
        <v>3</v>
      </c>
      <c r="G624" s="4" t="s">
        <v>14</v>
      </c>
      <c r="H624">
        <v>64</v>
      </c>
      <c r="I624">
        <f t="shared" si="37"/>
        <v>92.44</v>
      </c>
      <c r="J624" t="s">
        <v>21</v>
      </c>
      <c r="K624" t="s">
        <v>22</v>
      </c>
      <c r="L624">
        <v>1523768400</v>
      </c>
      <c r="M624">
        <v>1526014800</v>
      </c>
      <c r="N624" s="19">
        <f t="shared" si="38"/>
        <v>43205.208333333328</v>
      </c>
      <c r="O624" s="19">
        <f t="shared" si="39"/>
        <v>43231.208333333328</v>
      </c>
      <c r="P624" t="b">
        <v>0</v>
      </c>
      <c r="Q624" t="b">
        <v>0</v>
      </c>
      <c r="R624" t="s">
        <v>60</v>
      </c>
      <c r="S624" t="s">
        <v>2033</v>
      </c>
      <c r="T624" t="s">
        <v>2043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>
        <f t="shared" si="36"/>
        <v>160</v>
      </c>
      <c r="G625" s="5" t="s">
        <v>20</v>
      </c>
      <c r="H625">
        <v>2693</v>
      </c>
      <c r="I625">
        <f t="shared" si="37"/>
        <v>56</v>
      </c>
      <c r="J625" t="s">
        <v>40</v>
      </c>
      <c r="K625" t="s">
        <v>41</v>
      </c>
      <c r="L625">
        <v>1437022800</v>
      </c>
      <c r="M625">
        <v>1437454800</v>
      </c>
      <c r="N625" s="19">
        <f t="shared" si="38"/>
        <v>42201.208333333328</v>
      </c>
      <c r="O625" s="19">
        <f t="shared" si="39"/>
        <v>42206.208333333328</v>
      </c>
      <c r="P625" t="b">
        <v>0</v>
      </c>
      <c r="Q625" t="b">
        <v>0</v>
      </c>
      <c r="R625" t="s">
        <v>33</v>
      </c>
      <c r="S625" t="s">
        <v>2037</v>
      </c>
      <c r="T625" t="s">
        <v>2038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>
        <f t="shared" si="36"/>
        <v>279</v>
      </c>
      <c r="G626" s="5" t="s">
        <v>20</v>
      </c>
      <c r="H626">
        <v>432</v>
      </c>
      <c r="I626">
        <f t="shared" si="37"/>
        <v>32.979999999999997</v>
      </c>
      <c r="J626" t="s">
        <v>21</v>
      </c>
      <c r="K626" t="s">
        <v>22</v>
      </c>
      <c r="L626">
        <v>1422165600</v>
      </c>
      <c r="M626">
        <v>1422684000</v>
      </c>
      <c r="N626" s="19">
        <f t="shared" si="38"/>
        <v>42029.25</v>
      </c>
      <c r="O626" s="19">
        <f t="shared" si="39"/>
        <v>42035.25</v>
      </c>
      <c r="P626" t="b">
        <v>0</v>
      </c>
      <c r="Q626" t="b">
        <v>0</v>
      </c>
      <c r="R626" t="s">
        <v>122</v>
      </c>
      <c r="S626" t="s">
        <v>2052</v>
      </c>
      <c r="T626" t="s">
        <v>2053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>
        <f t="shared" si="36"/>
        <v>77</v>
      </c>
      <c r="G627" s="4" t="s">
        <v>14</v>
      </c>
      <c r="H627">
        <v>62</v>
      </c>
      <c r="I627">
        <f t="shared" si="37"/>
        <v>93.6</v>
      </c>
      <c r="J627" t="s">
        <v>21</v>
      </c>
      <c r="K627" t="s">
        <v>22</v>
      </c>
      <c r="L627">
        <v>1580104800</v>
      </c>
      <c r="M627">
        <v>1581314400</v>
      </c>
      <c r="N627" s="19">
        <f t="shared" si="38"/>
        <v>43857.25</v>
      </c>
      <c r="O627" s="19">
        <f t="shared" si="39"/>
        <v>43871.25</v>
      </c>
      <c r="P627" t="b">
        <v>0</v>
      </c>
      <c r="Q627" t="b">
        <v>0</v>
      </c>
      <c r="R627" t="s">
        <v>33</v>
      </c>
      <c r="S627" t="s">
        <v>2037</v>
      </c>
      <c r="T627" t="s">
        <v>2038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>
        <f t="shared" si="36"/>
        <v>206</v>
      </c>
      <c r="G628" s="5" t="s">
        <v>20</v>
      </c>
      <c r="H628">
        <v>189</v>
      </c>
      <c r="I628">
        <f t="shared" si="37"/>
        <v>69.87</v>
      </c>
      <c r="J628" t="s">
        <v>21</v>
      </c>
      <c r="K628" t="s">
        <v>22</v>
      </c>
      <c r="L628">
        <v>1285650000</v>
      </c>
      <c r="M628">
        <v>1286427600</v>
      </c>
      <c r="N628" s="19">
        <f t="shared" si="38"/>
        <v>40449.208333333336</v>
      </c>
      <c r="O628" s="19">
        <f t="shared" si="39"/>
        <v>40458.208333333336</v>
      </c>
      <c r="P628" t="b">
        <v>0</v>
      </c>
      <c r="Q628" t="b">
        <v>1</v>
      </c>
      <c r="R628" t="s">
        <v>33</v>
      </c>
      <c r="S628" t="s">
        <v>2037</v>
      </c>
      <c r="T628" t="s">
        <v>2038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>
        <f t="shared" si="36"/>
        <v>694</v>
      </c>
      <c r="G629" s="5" t="s">
        <v>20</v>
      </c>
      <c r="H629">
        <v>154</v>
      </c>
      <c r="I629">
        <f t="shared" si="37"/>
        <v>72.13</v>
      </c>
      <c r="J629" t="s">
        <v>40</v>
      </c>
      <c r="K629" t="s">
        <v>41</v>
      </c>
      <c r="L629">
        <v>1276664400</v>
      </c>
      <c r="M629">
        <v>1278738000</v>
      </c>
      <c r="N629" s="19">
        <f t="shared" si="38"/>
        <v>40345.208333333336</v>
      </c>
      <c r="O629" s="19">
        <f t="shared" si="39"/>
        <v>40369.208333333336</v>
      </c>
      <c r="P629" t="b">
        <v>1</v>
      </c>
      <c r="Q629" t="b">
        <v>0</v>
      </c>
      <c r="R629" t="s">
        <v>17</v>
      </c>
      <c r="S629" t="s">
        <v>2031</v>
      </c>
      <c r="T629" t="s">
        <v>2032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>
        <f t="shared" si="36"/>
        <v>152</v>
      </c>
      <c r="G630" s="5" t="s">
        <v>20</v>
      </c>
      <c r="H630">
        <v>96</v>
      </c>
      <c r="I630">
        <f t="shared" si="37"/>
        <v>30.04</v>
      </c>
      <c r="J630" t="s">
        <v>21</v>
      </c>
      <c r="K630" t="s">
        <v>22</v>
      </c>
      <c r="L630">
        <v>1286168400</v>
      </c>
      <c r="M630">
        <v>1286427600</v>
      </c>
      <c r="N630" s="19">
        <f t="shared" si="38"/>
        <v>40455.208333333336</v>
      </c>
      <c r="O630" s="19">
        <f t="shared" si="39"/>
        <v>40458.208333333336</v>
      </c>
      <c r="P630" t="b">
        <v>0</v>
      </c>
      <c r="Q630" t="b">
        <v>0</v>
      </c>
      <c r="R630" t="s">
        <v>60</v>
      </c>
      <c r="S630" t="s">
        <v>2033</v>
      </c>
      <c r="T630" t="s">
        <v>2043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>
        <f t="shared" si="36"/>
        <v>65</v>
      </c>
      <c r="G631" s="4" t="s">
        <v>14</v>
      </c>
      <c r="H631">
        <v>750</v>
      </c>
      <c r="I631">
        <f t="shared" si="37"/>
        <v>73.97</v>
      </c>
      <c r="J631" t="s">
        <v>21</v>
      </c>
      <c r="K631" t="s">
        <v>22</v>
      </c>
      <c r="L631">
        <v>1467781200</v>
      </c>
      <c r="M631">
        <v>1467954000</v>
      </c>
      <c r="N631" s="19">
        <f t="shared" si="38"/>
        <v>42557.208333333328</v>
      </c>
      <c r="O631" s="19">
        <f t="shared" si="39"/>
        <v>42559.208333333328</v>
      </c>
      <c r="P631" t="b">
        <v>0</v>
      </c>
      <c r="Q631" t="b">
        <v>1</v>
      </c>
      <c r="R631" t="s">
        <v>33</v>
      </c>
      <c r="S631" t="s">
        <v>2037</v>
      </c>
      <c r="T631" t="s">
        <v>2038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>
        <f t="shared" si="36"/>
        <v>63</v>
      </c>
      <c r="G632" s="7" t="s">
        <v>74</v>
      </c>
      <c r="H632">
        <v>87</v>
      </c>
      <c r="I632">
        <f t="shared" si="37"/>
        <v>68.66</v>
      </c>
      <c r="J632" t="s">
        <v>21</v>
      </c>
      <c r="K632" t="s">
        <v>22</v>
      </c>
      <c r="L632">
        <v>1556686800</v>
      </c>
      <c r="M632">
        <v>1557637200</v>
      </c>
      <c r="N632" s="19">
        <f t="shared" si="38"/>
        <v>43586.208333333328</v>
      </c>
      <c r="O632" s="19">
        <f t="shared" si="39"/>
        <v>43597.208333333328</v>
      </c>
      <c r="P632" t="b">
        <v>0</v>
      </c>
      <c r="Q632" t="b">
        <v>1</v>
      </c>
      <c r="R632" t="s">
        <v>33</v>
      </c>
      <c r="S632" t="s">
        <v>2037</v>
      </c>
      <c r="T632" t="s">
        <v>2038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>
        <f t="shared" si="36"/>
        <v>310</v>
      </c>
      <c r="G633" s="5" t="s">
        <v>20</v>
      </c>
      <c r="H633">
        <v>3063</v>
      </c>
      <c r="I633">
        <f t="shared" si="37"/>
        <v>59.99</v>
      </c>
      <c r="J633" t="s">
        <v>21</v>
      </c>
      <c r="K633" t="s">
        <v>22</v>
      </c>
      <c r="L633">
        <v>1553576400</v>
      </c>
      <c r="M633">
        <v>1553922000</v>
      </c>
      <c r="N633" s="19">
        <f t="shared" si="38"/>
        <v>43550.208333333328</v>
      </c>
      <c r="O633" s="19">
        <f t="shared" si="39"/>
        <v>43554.208333333328</v>
      </c>
      <c r="P633" t="b">
        <v>0</v>
      </c>
      <c r="Q633" t="b">
        <v>0</v>
      </c>
      <c r="R633" t="s">
        <v>33</v>
      </c>
      <c r="S633" t="s">
        <v>2037</v>
      </c>
      <c r="T633" t="s">
        <v>2038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>
        <f t="shared" si="36"/>
        <v>43</v>
      </c>
      <c r="G634" s="6" t="s">
        <v>47</v>
      </c>
      <c r="H634">
        <v>278</v>
      </c>
      <c r="I634">
        <f t="shared" si="37"/>
        <v>111.16</v>
      </c>
      <c r="J634" t="s">
        <v>21</v>
      </c>
      <c r="K634" t="s">
        <v>22</v>
      </c>
      <c r="L634">
        <v>1414904400</v>
      </c>
      <c r="M634">
        <v>1416463200</v>
      </c>
      <c r="N634" s="19">
        <f t="shared" si="38"/>
        <v>41945.208333333336</v>
      </c>
      <c r="O634" s="19">
        <f t="shared" si="39"/>
        <v>41963.25</v>
      </c>
      <c r="P634" t="b">
        <v>0</v>
      </c>
      <c r="Q634" t="b">
        <v>0</v>
      </c>
      <c r="R634" t="s">
        <v>33</v>
      </c>
      <c r="S634" t="s">
        <v>2037</v>
      </c>
      <c r="T634" t="s">
        <v>2038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>
        <f t="shared" si="36"/>
        <v>83</v>
      </c>
      <c r="G635" s="4" t="s">
        <v>14</v>
      </c>
      <c r="H635">
        <v>105</v>
      </c>
      <c r="I635">
        <f t="shared" si="37"/>
        <v>53.04</v>
      </c>
      <c r="J635" t="s">
        <v>21</v>
      </c>
      <c r="K635" t="s">
        <v>22</v>
      </c>
      <c r="L635">
        <v>1446876000</v>
      </c>
      <c r="M635">
        <v>1447221600</v>
      </c>
      <c r="N635" s="19">
        <f t="shared" si="38"/>
        <v>42315.25</v>
      </c>
      <c r="O635" s="19">
        <f t="shared" si="39"/>
        <v>42319.25</v>
      </c>
      <c r="P635" t="b">
        <v>0</v>
      </c>
      <c r="Q635" t="b">
        <v>0</v>
      </c>
      <c r="R635" t="s">
        <v>71</v>
      </c>
      <c r="S635" t="s">
        <v>2039</v>
      </c>
      <c r="T635" t="s">
        <v>2047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>
        <f t="shared" si="36"/>
        <v>79</v>
      </c>
      <c r="G636" s="7" t="s">
        <v>74</v>
      </c>
      <c r="H636">
        <v>1658</v>
      </c>
      <c r="I636">
        <f t="shared" si="37"/>
        <v>55.99</v>
      </c>
      <c r="J636" t="s">
        <v>21</v>
      </c>
      <c r="K636" t="s">
        <v>22</v>
      </c>
      <c r="L636">
        <v>1490418000</v>
      </c>
      <c r="M636">
        <v>1491627600</v>
      </c>
      <c r="N636" s="19">
        <f t="shared" si="38"/>
        <v>42819.208333333328</v>
      </c>
      <c r="O636" s="19">
        <f t="shared" si="39"/>
        <v>42833.208333333328</v>
      </c>
      <c r="P636" t="b">
        <v>0</v>
      </c>
      <c r="Q636" t="b">
        <v>0</v>
      </c>
      <c r="R636" t="s">
        <v>269</v>
      </c>
      <c r="S636" t="s">
        <v>2039</v>
      </c>
      <c r="T636" t="s">
        <v>2058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>
        <f t="shared" si="36"/>
        <v>114</v>
      </c>
      <c r="G637" s="5" t="s">
        <v>20</v>
      </c>
      <c r="H637">
        <v>2266</v>
      </c>
      <c r="I637">
        <f t="shared" si="37"/>
        <v>69.989999999999995</v>
      </c>
      <c r="J637" t="s">
        <v>21</v>
      </c>
      <c r="K637" t="s">
        <v>22</v>
      </c>
      <c r="L637">
        <v>1360389600</v>
      </c>
      <c r="M637">
        <v>1363150800</v>
      </c>
      <c r="N637" s="19">
        <f t="shared" si="38"/>
        <v>41314.25</v>
      </c>
      <c r="O637" s="19">
        <f t="shared" si="39"/>
        <v>41346.208333333336</v>
      </c>
      <c r="P637" t="b">
        <v>0</v>
      </c>
      <c r="Q637" t="b">
        <v>0</v>
      </c>
      <c r="R637" t="s">
        <v>269</v>
      </c>
      <c r="S637" t="s">
        <v>2039</v>
      </c>
      <c r="T637" t="s">
        <v>2058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>
        <f t="shared" si="36"/>
        <v>65</v>
      </c>
      <c r="G638" s="4" t="s">
        <v>14</v>
      </c>
      <c r="H638">
        <v>2604</v>
      </c>
      <c r="I638">
        <f t="shared" si="37"/>
        <v>49</v>
      </c>
      <c r="J638" t="s">
        <v>36</v>
      </c>
      <c r="K638" t="s">
        <v>37</v>
      </c>
      <c r="L638">
        <v>1326866400</v>
      </c>
      <c r="M638">
        <v>1330754400</v>
      </c>
      <c r="N638" s="19">
        <f t="shared" si="38"/>
        <v>40926.25</v>
      </c>
      <c r="O638" s="19">
        <f t="shared" si="39"/>
        <v>40971.25</v>
      </c>
      <c r="P638" t="b">
        <v>0</v>
      </c>
      <c r="Q638" t="b">
        <v>1</v>
      </c>
      <c r="R638" t="s">
        <v>71</v>
      </c>
      <c r="S638" t="s">
        <v>2039</v>
      </c>
      <c r="T638" t="s">
        <v>2047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>
        <f t="shared" si="36"/>
        <v>79</v>
      </c>
      <c r="G639" s="4" t="s">
        <v>14</v>
      </c>
      <c r="H639">
        <v>65</v>
      </c>
      <c r="I639">
        <f t="shared" si="37"/>
        <v>103.85</v>
      </c>
      <c r="J639" t="s">
        <v>21</v>
      </c>
      <c r="K639" t="s">
        <v>22</v>
      </c>
      <c r="L639">
        <v>1479103200</v>
      </c>
      <c r="M639">
        <v>1479794400</v>
      </c>
      <c r="N639" s="19">
        <f t="shared" si="38"/>
        <v>42688.25</v>
      </c>
      <c r="O639" s="19">
        <f t="shared" si="39"/>
        <v>42696.25</v>
      </c>
      <c r="P639" t="b">
        <v>0</v>
      </c>
      <c r="Q639" t="b">
        <v>0</v>
      </c>
      <c r="R639" t="s">
        <v>33</v>
      </c>
      <c r="S639" t="s">
        <v>2037</v>
      </c>
      <c r="T639" t="s">
        <v>2038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>
        <f t="shared" si="36"/>
        <v>11</v>
      </c>
      <c r="G640" s="4" t="s">
        <v>14</v>
      </c>
      <c r="H640">
        <v>94</v>
      </c>
      <c r="I640">
        <f t="shared" si="37"/>
        <v>99.13</v>
      </c>
      <c r="J640" t="s">
        <v>21</v>
      </c>
      <c r="K640" t="s">
        <v>22</v>
      </c>
      <c r="L640">
        <v>1280206800</v>
      </c>
      <c r="M640">
        <v>1281243600</v>
      </c>
      <c r="N640" s="19">
        <f t="shared" si="38"/>
        <v>40386.208333333336</v>
      </c>
      <c r="O640" s="19">
        <f t="shared" si="39"/>
        <v>40398.208333333336</v>
      </c>
      <c r="P640" t="b">
        <v>0</v>
      </c>
      <c r="Q640" t="b">
        <v>1</v>
      </c>
      <c r="R640" t="s">
        <v>33</v>
      </c>
      <c r="S640" t="s">
        <v>2037</v>
      </c>
      <c r="T640" t="s">
        <v>2038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>
        <f t="shared" si="36"/>
        <v>56</v>
      </c>
      <c r="G641" s="6" t="s">
        <v>47</v>
      </c>
      <c r="H641">
        <v>45</v>
      </c>
      <c r="I641">
        <f t="shared" si="37"/>
        <v>107.38</v>
      </c>
      <c r="J641" t="s">
        <v>21</v>
      </c>
      <c r="K641" t="s">
        <v>22</v>
      </c>
      <c r="L641">
        <v>1532754000</v>
      </c>
      <c r="M641">
        <v>1532754000</v>
      </c>
      <c r="N641" s="19">
        <f t="shared" si="38"/>
        <v>43309.208333333328</v>
      </c>
      <c r="O641" s="19">
        <f t="shared" si="39"/>
        <v>43309.208333333328</v>
      </c>
      <c r="P641" t="b">
        <v>0</v>
      </c>
      <c r="Q641" t="b">
        <v>1</v>
      </c>
      <c r="R641" t="s">
        <v>53</v>
      </c>
      <c r="S641" t="s">
        <v>2039</v>
      </c>
      <c r="T641" t="s">
        <v>2042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>
        <f t="shared" si="36"/>
        <v>17</v>
      </c>
      <c r="G642" s="4" t="s">
        <v>14</v>
      </c>
      <c r="H642">
        <v>257</v>
      </c>
      <c r="I642">
        <f t="shared" si="37"/>
        <v>76.92</v>
      </c>
      <c r="J642" t="s">
        <v>21</v>
      </c>
      <c r="K642" t="s">
        <v>22</v>
      </c>
      <c r="L642">
        <v>1453096800</v>
      </c>
      <c r="M642">
        <v>1453356000</v>
      </c>
      <c r="N642" s="19">
        <f t="shared" si="38"/>
        <v>42387.25</v>
      </c>
      <c r="O642" s="19">
        <f t="shared" si="39"/>
        <v>42390.25</v>
      </c>
      <c r="P642" t="b">
        <v>0</v>
      </c>
      <c r="Q642" t="b">
        <v>0</v>
      </c>
      <c r="R642" t="s">
        <v>33</v>
      </c>
      <c r="S642" t="s">
        <v>2037</v>
      </c>
      <c r="T642" t="s">
        <v>2038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>
        <f t="shared" ref="F643:F706" si="40">ROUND(E643/D643*100,0)</f>
        <v>120</v>
      </c>
      <c r="G643" s="5" t="s">
        <v>20</v>
      </c>
      <c r="H643">
        <v>194</v>
      </c>
      <c r="I643">
        <f t="shared" ref="I643:I706" si="41">ROUND(E643/H643,2)</f>
        <v>58.13</v>
      </c>
      <c r="J643" t="s">
        <v>98</v>
      </c>
      <c r="K643" t="s">
        <v>99</v>
      </c>
      <c r="L643">
        <v>1487570400</v>
      </c>
      <c r="M643">
        <v>1489986000</v>
      </c>
      <c r="N643" s="19">
        <f t="shared" ref="N643:N706" si="42">(((L643/60)/60)/24)+DATE(1970,1,1)</f>
        <v>42786.25</v>
      </c>
      <c r="O643" s="19">
        <f t="shared" ref="O643:O706" si="43">(((M643/60)/60)/24)+DATE(1970,1,1)</f>
        <v>42814.208333333328</v>
      </c>
      <c r="P643" t="b">
        <v>0</v>
      </c>
      <c r="Q643" t="b">
        <v>0</v>
      </c>
      <c r="R643" t="s">
        <v>33</v>
      </c>
      <c r="S643" t="s">
        <v>2037</v>
      </c>
      <c r="T643" t="s">
        <v>2038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>
        <f t="shared" si="40"/>
        <v>145</v>
      </c>
      <c r="G644" s="5" t="s">
        <v>20</v>
      </c>
      <c r="H644">
        <v>129</v>
      </c>
      <c r="I644">
        <f t="shared" si="41"/>
        <v>103.74</v>
      </c>
      <c r="J644" t="s">
        <v>15</v>
      </c>
      <c r="K644" t="s">
        <v>16</v>
      </c>
      <c r="L644">
        <v>1545026400</v>
      </c>
      <c r="M644">
        <v>1545804000</v>
      </c>
      <c r="N644" s="19">
        <f t="shared" si="42"/>
        <v>43451.25</v>
      </c>
      <c r="O644" s="19">
        <f t="shared" si="43"/>
        <v>43460.25</v>
      </c>
      <c r="P644" t="b">
        <v>0</v>
      </c>
      <c r="Q644" t="b">
        <v>0</v>
      </c>
      <c r="R644" t="s">
        <v>65</v>
      </c>
      <c r="S644" t="s">
        <v>2035</v>
      </c>
      <c r="T644" t="s">
        <v>2044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>
        <f t="shared" si="40"/>
        <v>221</v>
      </c>
      <c r="G645" s="5" t="s">
        <v>20</v>
      </c>
      <c r="H645">
        <v>375</v>
      </c>
      <c r="I645">
        <f t="shared" si="41"/>
        <v>87.96</v>
      </c>
      <c r="J645" t="s">
        <v>21</v>
      </c>
      <c r="K645" t="s">
        <v>22</v>
      </c>
      <c r="L645">
        <v>1488348000</v>
      </c>
      <c r="M645">
        <v>1489899600</v>
      </c>
      <c r="N645" s="19">
        <f t="shared" si="42"/>
        <v>42795.25</v>
      </c>
      <c r="O645" s="19">
        <f t="shared" si="43"/>
        <v>42813.208333333328</v>
      </c>
      <c r="P645" t="b">
        <v>0</v>
      </c>
      <c r="Q645" t="b">
        <v>0</v>
      </c>
      <c r="R645" t="s">
        <v>33</v>
      </c>
      <c r="S645" t="s">
        <v>2037</v>
      </c>
      <c r="T645" t="s">
        <v>2038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>
        <f t="shared" si="40"/>
        <v>48</v>
      </c>
      <c r="G646" s="4" t="s">
        <v>14</v>
      </c>
      <c r="H646">
        <v>2928</v>
      </c>
      <c r="I646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s="19">
        <f t="shared" si="42"/>
        <v>43452.25</v>
      </c>
      <c r="O646" s="19">
        <f t="shared" si="43"/>
        <v>43468.25</v>
      </c>
      <c r="P646" t="b">
        <v>0</v>
      </c>
      <c r="Q646" t="b">
        <v>0</v>
      </c>
      <c r="R646" t="s">
        <v>33</v>
      </c>
      <c r="S646" t="s">
        <v>2037</v>
      </c>
      <c r="T646" t="s">
        <v>2038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>
        <f t="shared" si="40"/>
        <v>93</v>
      </c>
      <c r="G647" s="4" t="s">
        <v>14</v>
      </c>
      <c r="H647">
        <v>4697</v>
      </c>
      <c r="I647">
        <f t="shared" si="41"/>
        <v>38</v>
      </c>
      <c r="J647" t="s">
        <v>21</v>
      </c>
      <c r="K647" t="s">
        <v>22</v>
      </c>
      <c r="L647">
        <v>1537938000</v>
      </c>
      <c r="M647">
        <v>1539752400</v>
      </c>
      <c r="N647" s="19">
        <f t="shared" si="42"/>
        <v>43369.208333333328</v>
      </c>
      <c r="O647" s="19">
        <f t="shared" si="43"/>
        <v>43390.208333333328</v>
      </c>
      <c r="P647" t="b">
        <v>0</v>
      </c>
      <c r="Q647" t="b">
        <v>1</v>
      </c>
      <c r="R647" t="s">
        <v>23</v>
      </c>
      <c r="S647" t="s">
        <v>2033</v>
      </c>
      <c r="T647" t="s">
        <v>2034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>
        <f t="shared" si="40"/>
        <v>89</v>
      </c>
      <c r="G648" s="4" t="s">
        <v>14</v>
      </c>
      <c r="H648">
        <v>2915</v>
      </c>
      <c r="I648">
        <f t="shared" si="41"/>
        <v>30</v>
      </c>
      <c r="J648" t="s">
        <v>21</v>
      </c>
      <c r="K648" t="s">
        <v>22</v>
      </c>
      <c r="L648">
        <v>1363150800</v>
      </c>
      <c r="M648">
        <v>1364101200</v>
      </c>
      <c r="N648" s="19">
        <f t="shared" si="42"/>
        <v>41346.208333333336</v>
      </c>
      <c r="O648" s="19">
        <f t="shared" si="43"/>
        <v>41357.208333333336</v>
      </c>
      <c r="P648" t="b">
        <v>0</v>
      </c>
      <c r="Q648" t="b">
        <v>0</v>
      </c>
      <c r="R648" t="s">
        <v>89</v>
      </c>
      <c r="S648" t="s">
        <v>2048</v>
      </c>
      <c r="T648" t="s">
        <v>2049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>
        <f t="shared" si="40"/>
        <v>41</v>
      </c>
      <c r="G649" s="4" t="s">
        <v>14</v>
      </c>
      <c r="H649">
        <v>18</v>
      </c>
      <c r="I649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s="19">
        <f t="shared" si="42"/>
        <v>43199.208333333328</v>
      </c>
      <c r="O649" s="19">
        <f t="shared" si="43"/>
        <v>43223.208333333328</v>
      </c>
      <c r="P649" t="b">
        <v>0</v>
      </c>
      <c r="Q649" t="b">
        <v>0</v>
      </c>
      <c r="R649" t="s">
        <v>206</v>
      </c>
      <c r="S649" t="s">
        <v>2045</v>
      </c>
      <c r="T649" t="s">
        <v>2057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>
        <f t="shared" si="40"/>
        <v>63</v>
      </c>
      <c r="G650" s="7" t="s">
        <v>74</v>
      </c>
      <c r="H650">
        <v>723</v>
      </c>
      <c r="I650">
        <f t="shared" si="41"/>
        <v>85.99</v>
      </c>
      <c r="J650" t="s">
        <v>21</v>
      </c>
      <c r="K650" t="s">
        <v>22</v>
      </c>
      <c r="L650">
        <v>1499317200</v>
      </c>
      <c r="M650">
        <v>1500872400</v>
      </c>
      <c r="N650" s="19">
        <f t="shared" si="42"/>
        <v>42922.208333333328</v>
      </c>
      <c r="O650" s="19">
        <f t="shared" si="43"/>
        <v>42940.208333333328</v>
      </c>
      <c r="P650" t="b">
        <v>1</v>
      </c>
      <c r="Q650" t="b">
        <v>0</v>
      </c>
      <c r="R650" t="s">
        <v>17</v>
      </c>
      <c r="S650" t="s">
        <v>2031</v>
      </c>
      <c r="T650" t="s">
        <v>2032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>
        <f t="shared" si="40"/>
        <v>48</v>
      </c>
      <c r="G651" s="4" t="s">
        <v>14</v>
      </c>
      <c r="H651">
        <v>602</v>
      </c>
      <c r="I651">
        <f t="shared" si="41"/>
        <v>98.01</v>
      </c>
      <c r="J651" t="s">
        <v>98</v>
      </c>
      <c r="K651" t="s">
        <v>99</v>
      </c>
      <c r="L651">
        <v>1287550800</v>
      </c>
      <c r="M651">
        <v>1288501200</v>
      </c>
      <c r="N651" s="19">
        <f t="shared" si="42"/>
        <v>40471.208333333336</v>
      </c>
      <c r="O651" s="19">
        <f t="shared" si="43"/>
        <v>40482.208333333336</v>
      </c>
      <c r="P651" t="b">
        <v>1</v>
      </c>
      <c r="Q651" t="b">
        <v>1</v>
      </c>
      <c r="R651" t="s">
        <v>33</v>
      </c>
      <c r="S651" t="s">
        <v>2037</v>
      </c>
      <c r="T651" t="s">
        <v>2038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>
        <f t="shared" si="40"/>
        <v>2</v>
      </c>
      <c r="G652" s="4" t="s">
        <v>14</v>
      </c>
      <c r="H652">
        <v>1</v>
      </c>
      <c r="I652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s="19">
        <f t="shared" si="42"/>
        <v>41828.208333333336</v>
      </c>
      <c r="O652" s="19">
        <f t="shared" si="43"/>
        <v>41855.208333333336</v>
      </c>
      <c r="P652" t="b">
        <v>0</v>
      </c>
      <c r="Q652" t="b">
        <v>0</v>
      </c>
      <c r="R652" t="s">
        <v>159</v>
      </c>
      <c r="S652" t="s">
        <v>2033</v>
      </c>
      <c r="T652" t="s">
        <v>2056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>
        <f t="shared" si="40"/>
        <v>88</v>
      </c>
      <c r="G653" s="4" t="s">
        <v>14</v>
      </c>
      <c r="H653">
        <v>3868</v>
      </c>
      <c r="I653">
        <f t="shared" si="41"/>
        <v>44.99</v>
      </c>
      <c r="J653" t="s">
        <v>107</v>
      </c>
      <c r="K653" t="s">
        <v>108</v>
      </c>
      <c r="L653">
        <v>1393048800</v>
      </c>
      <c r="M653">
        <v>1394344800</v>
      </c>
      <c r="N653" s="19">
        <f t="shared" si="42"/>
        <v>41692.25</v>
      </c>
      <c r="O653" s="19">
        <f t="shared" si="43"/>
        <v>41707.25</v>
      </c>
      <c r="P653" t="b">
        <v>0</v>
      </c>
      <c r="Q653" t="b">
        <v>0</v>
      </c>
      <c r="R653" t="s">
        <v>100</v>
      </c>
      <c r="S653" t="s">
        <v>2039</v>
      </c>
      <c r="T653" t="s">
        <v>2050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>
        <f t="shared" si="40"/>
        <v>127</v>
      </c>
      <c r="G654" s="5" t="s">
        <v>20</v>
      </c>
      <c r="H654">
        <v>409</v>
      </c>
      <c r="I654">
        <f t="shared" si="41"/>
        <v>31.01</v>
      </c>
      <c r="J654" t="s">
        <v>21</v>
      </c>
      <c r="K654" t="s">
        <v>22</v>
      </c>
      <c r="L654">
        <v>1470373200</v>
      </c>
      <c r="M654">
        <v>1474088400</v>
      </c>
      <c r="N654" s="19">
        <f t="shared" si="42"/>
        <v>42587.208333333328</v>
      </c>
      <c r="O654" s="19">
        <f t="shared" si="43"/>
        <v>42630.208333333328</v>
      </c>
      <c r="P654" t="b">
        <v>0</v>
      </c>
      <c r="Q654" t="b">
        <v>0</v>
      </c>
      <c r="R654" t="s">
        <v>28</v>
      </c>
      <c r="S654" t="s">
        <v>2035</v>
      </c>
      <c r="T654" t="s">
        <v>2036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>
        <f t="shared" si="40"/>
        <v>2339</v>
      </c>
      <c r="G655" s="5" t="s">
        <v>20</v>
      </c>
      <c r="H655">
        <v>234</v>
      </c>
      <c r="I655">
        <f t="shared" si="41"/>
        <v>59.97</v>
      </c>
      <c r="J655" t="s">
        <v>21</v>
      </c>
      <c r="K655" t="s">
        <v>22</v>
      </c>
      <c r="L655">
        <v>1460091600</v>
      </c>
      <c r="M655">
        <v>1460264400</v>
      </c>
      <c r="N655" s="19">
        <f t="shared" si="42"/>
        <v>42468.208333333328</v>
      </c>
      <c r="O655" s="19">
        <f t="shared" si="43"/>
        <v>42470.208333333328</v>
      </c>
      <c r="P655" t="b">
        <v>0</v>
      </c>
      <c r="Q655" t="b">
        <v>0</v>
      </c>
      <c r="R655" t="s">
        <v>28</v>
      </c>
      <c r="S655" t="s">
        <v>2035</v>
      </c>
      <c r="T655" t="s">
        <v>2036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>
        <f t="shared" si="40"/>
        <v>508</v>
      </c>
      <c r="G656" s="5" t="s">
        <v>20</v>
      </c>
      <c r="H656">
        <v>3016</v>
      </c>
      <c r="I656">
        <f t="shared" si="41"/>
        <v>59</v>
      </c>
      <c r="J656" t="s">
        <v>21</v>
      </c>
      <c r="K656" t="s">
        <v>22</v>
      </c>
      <c r="L656">
        <v>1440392400</v>
      </c>
      <c r="M656">
        <v>1440824400</v>
      </c>
      <c r="N656" s="19">
        <f t="shared" si="42"/>
        <v>42240.208333333328</v>
      </c>
      <c r="O656" s="19">
        <f t="shared" si="43"/>
        <v>42245.208333333328</v>
      </c>
      <c r="P656" t="b">
        <v>0</v>
      </c>
      <c r="Q656" t="b">
        <v>0</v>
      </c>
      <c r="R656" t="s">
        <v>148</v>
      </c>
      <c r="S656" t="s">
        <v>2033</v>
      </c>
      <c r="T656" t="s">
        <v>2055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>
        <f t="shared" si="40"/>
        <v>191</v>
      </c>
      <c r="G657" s="5" t="s">
        <v>20</v>
      </c>
      <c r="H657">
        <v>264</v>
      </c>
      <c r="I657">
        <f t="shared" si="41"/>
        <v>50.05</v>
      </c>
      <c r="J657" t="s">
        <v>21</v>
      </c>
      <c r="K657" t="s">
        <v>22</v>
      </c>
      <c r="L657">
        <v>1488434400</v>
      </c>
      <c r="M657">
        <v>1489554000</v>
      </c>
      <c r="N657" s="19">
        <f t="shared" si="42"/>
        <v>42796.25</v>
      </c>
      <c r="O657" s="19">
        <f t="shared" si="43"/>
        <v>42809.208333333328</v>
      </c>
      <c r="P657" t="b">
        <v>1</v>
      </c>
      <c r="Q657" t="b">
        <v>0</v>
      </c>
      <c r="R657" t="s">
        <v>122</v>
      </c>
      <c r="S657" t="s">
        <v>2052</v>
      </c>
      <c r="T657" t="s">
        <v>2053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>
        <f t="shared" si="40"/>
        <v>42</v>
      </c>
      <c r="G658" s="4" t="s">
        <v>14</v>
      </c>
      <c r="H658">
        <v>504</v>
      </c>
      <c r="I658">
        <f t="shared" si="41"/>
        <v>98.97</v>
      </c>
      <c r="J658" t="s">
        <v>26</v>
      </c>
      <c r="K658" t="s">
        <v>27</v>
      </c>
      <c r="L658">
        <v>1514440800</v>
      </c>
      <c r="M658">
        <v>1514872800</v>
      </c>
      <c r="N658" s="19">
        <f t="shared" si="42"/>
        <v>43097.25</v>
      </c>
      <c r="O658" s="19">
        <f t="shared" si="43"/>
        <v>43102.25</v>
      </c>
      <c r="P658" t="b">
        <v>0</v>
      </c>
      <c r="Q658" t="b">
        <v>0</v>
      </c>
      <c r="R658" t="s">
        <v>17</v>
      </c>
      <c r="S658" t="s">
        <v>2031</v>
      </c>
      <c r="T658" t="s">
        <v>2032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>
        <f t="shared" si="40"/>
        <v>8</v>
      </c>
      <c r="G659" s="4" t="s">
        <v>14</v>
      </c>
      <c r="H659">
        <v>14</v>
      </c>
      <c r="I659">
        <f t="shared" si="41"/>
        <v>58.86</v>
      </c>
      <c r="J659" t="s">
        <v>21</v>
      </c>
      <c r="K659" t="s">
        <v>22</v>
      </c>
      <c r="L659">
        <v>1514354400</v>
      </c>
      <c r="M659">
        <v>1515736800</v>
      </c>
      <c r="N659" s="19">
        <f t="shared" si="42"/>
        <v>43096.25</v>
      </c>
      <c r="O659" s="19">
        <f t="shared" si="43"/>
        <v>43112.25</v>
      </c>
      <c r="P659" t="b">
        <v>0</v>
      </c>
      <c r="Q659" t="b">
        <v>0</v>
      </c>
      <c r="R659" t="s">
        <v>474</v>
      </c>
      <c r="S659" t="s">
        <v>2039</v>
      </c>
      <c r="T659" t="s">
        <v>2061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>
        <f t="shared" si="40"/>
        <v>60</v>
      </c>
      <c r="G660" s="7" t="s">
        <v>74</v>
      </c>
      <c r="H660">
        <v>390</v>
      </c>
      <c r="I660">
        <f t="shared" si="41"/>
        <v>81.010000000000005</v>
      </c>
      <c r="J660" t="s">
        <v>21</v>
      </c>
      <c r="K660" t="s">
        <v>22</v>
      </c>
      <c r="L660">
        <v>1440910800</v>
      </c>
      <c r="M660">
        <v>1442898000</v>
      </c>
      <c r="N660" s="19">
        <f t="shared" si="42"/>
        <v>42246.208333333328</v>
      </c>
      <c r="O660" s="19">
        <f t="shared" si="43"/>
        <v>42269.208333333328</v>
      </c>
      <c r="P660" t="b">
        <v>0</v>
      </c>
      <c r="Q660" t="b">
        <v>0</v>
      </c>
      <c r="R660" t="s">
        <v>23</v>
      </c>
      <c r="S660" t="s">
        <v>2033</v>
      </c>
      <c r="T660" t="s">
        <v>2034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>
        <f t="shared" si="40"/>
        <v>47</v>
      </c>
      <c r="G661" s="4" t="s">
        <v>14</v>
      </c>
      <c r="H661">
        <v>750</v>
      </c>
      <c r="I661">
        <f t="shared" si="41"/>
        <v>76.010000000000005</v>
      </c>
      <c r="J661" t="s">
        <v>40</v>
      </c>
      <c r="K661" t="s">
        <v>41</v>
      </c>
      <c r="L661">
        <v>1296108000</v>
      </c>
      <c r="M661">
        <v>1296194400</v>
      </c>
      <c r="N661" s="19">
        <f t="shared" si="42"/>
        <v>40570.25</v>
      </c>
      <c r="O661" s="19">
        <f t="shared" si="43"/>
        <v>40571.25</v>
      </c>
      <c r="P661" t="b">
        <v>0</v>
      </c>
      <c r="Q661" t="b">
        <v>0</v>
      </c>
      <c r="R661" t="s">
        <v>42</v>
      </c>
      <c r="S661" t="s">
        <v>2039</v>
      </c>
      <c r="T661" t="s">
        <v>2040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>
        <f t="shared" si="40"/>
        <v>82</v>
      </c>
      <c r="G662" s="4" t="s">
        <v>14</v>
      </c>
      <c r="H662">
        <v>77</v>
      </c>
      <c r="I662">
        <f t="shared" si="41"/>
        <v>96.6</v>
      </c>
      <c r="J662" t="s">
        <v>21</v>
      </c>
      <c r="K662" t="s">
        <v>22</v>
      </c>
      <c r="L662">
        <v>1440133200</v>
      </c>
      <c r="M662">
        <v>1440910800</v>
      </c>
      <c r="N662" s="19">
        <f t="shared" si="42"/>
        <v>42237.208333333328</v>
      </c>
      <c r="O662" s="19">
        <f t="shared" si="43"/>
        <v>42246.208333333328</v>
      </c>
      <c r="P662" t="b">
        <v>1</v>
      </c>
      <c r="Q662" t="b">
        <v>0</v>
      </c>
      <c r="R662" t="s">
        <v>33</v>
      </c>
      <c r="S662" t="s">
        <v>2037</v>
      </c>
      <c r="T662" t="s">
        <v>2038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>
        <f t="shared" si="40"/>
        <v>54</v>
      </c>
      <c r="G663" s="4" t="s">
        <v>14</v>
      </c>
      <c r="H663">
        <v>752</v>
      </c>
      <c r="I663">
        <f t="shared" si="41"/>
        <v>76.959999999999994</v>
      </c>
      <c r="J663" t="s">
        <v>36</v>
      </c>
      <c r="K663" t="s">
        <v>37</v>
      </c>
      <c r="L663">
        <v>1332910800</v>
      </c>
      <c r="M663">
        <v>1335502800</v>
      </c>
      <c r="N663" s="19">
        <f t="shared" si="42"/>
        <v>40996.208333333336</v>
      </c>
      <c r="O663" s="19">
        <f t="shared" si="43"/>
        <v>41026.208333333336</v>
      </c>
      <c r="P663" t="b">
        <v>0</v>
      </c>
      <c r="Q663" t="b">
        <v>0</v>
      </c>
      <c r="R663" t="s">
        <v>159</v>
      </c>
      <c r="S663" t="s">
        <v>2033</v>
      </c>
      <c r="T663" t="s">
        <v>2056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>
        <f t="shared" si="40"/>
        <v>98</v>
      </c>
      <c r="G664" s="4" t="s">
        <v>14</v>
      </c>
      <c r="H664">
        <v>131</v>
      </c>
      <c r="I664">
        <f t="shared" si="41"/>
        <v>67.98</v>
      </c>
      <c r="J664" t="s">
        <v>21</v>
      </c>
      <c r="K664" t="s">
        <v>22</v>
      </c>
      <c r="L664">
        <v>1544335200</v>
      </c>
      <c r="M664">
        <v>1544680800</v>
      </c>
      <c r="N664" s="19">
        <f t="shared" si="42"/>
        <v>43443.25</v>
      </c>
      <c r="O664" s="19">
        <f t="shared" si="43"/>
        <v>43447.25</v>
      </c>
      <c r="P664" t="b">
        <v>0</v>
      </c>
      <c r="Q664" t="b">
        <v>0</v>
      </c>
      <c r="R664" t="s">
        <v>33</v>
      </c>
      <c r="S664" t="s">
        <v>2037</v>
      </c>
      <c r="T664" t="s">
        <v>2038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>
        <f t="shared" si="40"/>
        <v>77</v>
      </c>
      <c r="G665" s="4" t="s">
        <v>14</v>
      </c>
      <c r="H665">
        <v>87</v>
      </c>
      <c r="I665">
        <f t="shared" si="41"/>
        <v>88.78</v>
      </c>
      <c r="J665" t="s">
        <v>21</v>
      </c>
      <c r="K665" t="s">
        <v>22</v>
      </c>
      <c r="L665">
        <v>1286427600</v>
      </c>
      <c r="M665">
        <v>1288414800</v>
      </c>
      <c r="N665" s="19">
        <f t="shared" si="42"/>
        <v>40458.208333333336</v>
      </c>
      <c r="O665" s="19">
        <f t="shared" si="43"/>
        <v>40481.208333333336</v>
      </c>
      <c r="P665" t="b">
        <v>0</v>
      </c>
      <c r="Q665" t="b">
        <v>0</v>
      </c>
      <c r="R665" t="s">
        <v>33</v>
      </c>
      <c r="S665" t="s">
        <v>2037</v>
      </c>
      <c r="T665" t="s">
        <v>2038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>
        <f t="shared" si="40"/>
        <v>33</v>
      </c>
      <c r="G666" s="4" t="s">
        <v>14</v>
      </c>
      <c r="H666">
        <v>1063</v>
      </c>
      <c r="I666">
        <f t="shared" si="41"/>
        <v>25</v>
      </c>
      <c r="J666" t="s">
        <v>21</v>
      </c>
      <c r="K666" t="s">
        <v>22</v>
      </c>
      <c r="L666">
        <v>1329717600</v>
      </c>
      <c r="M666">
        <v>1330581600</v>
      </c>
      <c r="N666" s="19">
        <f t="shared" si="42"/>
        <v>40959.25</v>
      </c>
      <c r="O666" s="19">
        <f t="shared" si="43"/>
        <v>40969.25</v>
      </c>
      <c r="P666" t="b">
        <v>0</v>
      </c>
      <c r="Q666" t="b">
        <v>0</v>
      </c>
      <c r="R666" t="s">
        <v>159</v>
      </c>
      <c r="S666" t="s">
        <v>2033</v>
      </c>
      <c r="T666" t="s">
        <v>2056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>
        <f t="shared" si="40"/>
        <v>240</v>
      </c>
      <c r="G667" s="5" t="s">
        <v>20</v>
      </c>
      <c r="H667">
        <v>272</v>
      </c>
      <c r="I667">
        <f t="shared" si="41"/>
        <v>44.92</v>
      </c>
      <c r="J667" t="s">
        <v>21</v>
      </c>
      <c r="K667" t="s">
        <v>22</v>
      </c>
      <c r="L667">
        <v>1310187600</v>
      </c>
      <c r="M667">
        <v>1311397200</v>
      </c>
      <c r="N667" s="19">
        <f t="shared" si="42"/>
        <v>40733.208333333336</v>
      </c>
      <c r="O667" s="19">
        <f t="shared" si="43"/>
        <v>40747.208333333336</v>
      </c>
      <c r="P667" t="b">
        <v>0</v>
      </c>
      <c r="Q667" t="b">
        <v>1</v>
      </c>
      <c r="R667" t="s">
        <v>42</v>
      </c>
      <c r="S667" t="s">
        <v>2039</v>
      </c>
      <c r="T667" t="s">
        <v>2040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>
        <f t="shared" si="40"/>
        <v>64</v>
      </c>
      <c r="G668" s="7" t="s">
        <v>74</v>
      </c>
      <c r="H668">
        <v>25</v>
      </c>
      <c r="I668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9">
        <f t="shared" si="42"/>
        <v>41516.208333333336</v>
      </c>
      <c r="O668" s="19">
        <f t="shared" si="43"/>
        <v>41522.208333333336</v>
      </c>
      <c r="P668" t="b">
        <v>0</v>
      </c>
      <c r="Q668" t="b">
        <v>1</v>
      </c>
      <c r="R668" t="s">
        <v>33</v>
      </c>
      <c r="S668" t="s">
        <v>2037</v>
      </c>
      <c r="T668" t="s">
        <v>2038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>
        <f t="shared" si="40"/>
        <v>176</v>
      </c>
      <c r="G669" s="5" t="s">
        <v>20</v>
      </c>
      <c r="H669">
        <v>419</v>
      </c>
      <c r="I669">
        <f t="shared" si="41"/>
        <v>29.01</v>
      </c>
      <c r="J669" t="s">
        <v>21</v>
      </c>
      <c r="K669" t="s">
        <v>22</v>
      </c>
      <c r="L669">
        <v>1410325200</v>
      </c>
      <c r="M669">
        <v>1411102800</v>
      </c>
      <c r="N669" s="19">
        <f t="shared" si="42"/>
        <v>41892.208333333336</v>
      </c>
      <c r="O669" s="19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2062</v>
      </c>
      <c r="T669" t="s">
        <v>2063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>
        <f t="shared" si="40"/>
        <v>20</v>
      </c>
      <c r="G670" s="4" t="s">
        <v>14</v>
      </c>
      <c r="H670">
        <v>76</v>
      </c>
      <c r="I670">
        <f t="shared" si="41"/>
        <v>73.59</v>
      </c>
      <c r="J670" t="s">
        <v>21</v>
      </c>
      <c r="K670" t="s">
        <v>22</v>
      </c>
      <c r="L670">
        <v>1343797200</v>
      </c>
      <c r="M670">
        <v>1344834000</v>
      </c>
      <c r="N670" s="19">
        <f t="shared" si="42"/>
        <v>41122.208333333336</v>
      </c>
      <c r="O670" s="19">
        <f t="shared" si="43"/>
        <v>41134.208333333336</v>
      </c>
      <c r="P670" t="b">
        <v>0</v>
      </c>
      <c r="Q670" t="b">
        <v>0</v>
      </c>
      <c r="R670" t="s">
        <v>33</v>
      </c>
      <c r="S670" t="s">
        <v>2037</v>
      </c>
      <c r="T670" t="s">
        <v>2038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>
        <f t="shared" si="40"/>
        <v>359</v>
      </c>
      <c r="G671" s="5" t="s">
        <v>20</v>
      </c>
      <c r="H671">
        <v>1621</v>
      </c>
      <c r="I671">
        <f t="shared" si="41"/>
        <v>107.97</v>
      </c>
      <c r="J671" t="s">
        <v>107</v>
      </c>
      <c r="K671" t="s">
        <v>108</v>
      </c>
      <c r="L671">
        <v>1498453200</v>
      </c>
      <c r="M671">
        <v>1499230800</v>
      </c>
      <c r="N671" s="19">
        <f t="shared" si="42"/>
        <v>42912.208333333328</v>
      </c>
      <c r="O671" s="19">
        <f t="shared" si="43"/>
        <v>42921.208333333328</v>
      </c>
      <c r="P671" t="b">
        <v>0</v>
      </c>
      <c r="Q671" t="b">
        <v>0</v>
      </c>
      <c r="R671" t="s">
        <v>33</v>
      </c>
      <c r="S671" t="s">
        <v>2037</v>
      </c>
      <c r="T671" t="s">
        <v>2038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>
        <f t="shared" si="40"/>
        <v>469</v>
      </c>
      <c r="G672" s="5" t="s">
        <v>20</v>
      </c>
      <c r="H672">
        <v>1101</v>
      </c>
      <c r="I672">
        <f t="shared" si="41"/>
        <v>68.989999999999995</v>
      </c>
      <c r="J672" t="s">
        <v>21</v>
      </c>
      <c r="K672" t="s">
        <v>22</v>
      </c>
      <c r="L672">
        <v>1456380000</v>
      </c>
      <c r="M672">
        <v>1457416800</v>
      </c>
      <c r="N672" s="19">
        <f t="shared" si="42"/>
        <v>42425.25</v>
      </c>
      <c r="O672" s="19">
        <f t="shared" si="43"/>
        <v>42437.25</v>
      </c>
      <c r="P672" t="b">
        <v>0</v>
      </c>
      <c r="Q672" t="b">
        <v>0</v>
      </c>
      <c r="R672" t="s">
        <v>60</v>
      </c>
      <c r="S672" t="s">
        <v>2033</v>
      </c>
      <c r="T672" t="s">
        <v>2043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>
        <f t="shared" si="40"/>
        <v>122</v>
      </c>
      <c r="G673" s="5" t="s">
        <v>20</v>
      </c>
      <c r="H673">
        <v>1073</v>
      </c>
      <c r="I673">
        <f t="shared" si="41"/>
        <v>111.02</v>
      </c>
      <c r="J673" t="s">
        <v>21</v>
      </c>
      <c r="K673" t="s">
        <v>22</v>
      </c>
      <c r="L673">
        <v>1280552400</v>
      </c>
      <c r="M673">
        <v>1280898000</v>
      </c>
      <c r="N673" s="19">
        <f t="shared" si="42"/>
        <v>40390.208333333336</v>
      </c>
      <c r="O673" s="19">
        <f t="shared" si="43"/>
        <v>40394.208333333336</v>
      </c>
      <c r="P673" t="b">
        <v>0</v>
      </c>
      <c r="Q673" t="b">
        <v>1</v>
      </c>
      <c r="R673" t="s">
        <v>33</v>
      </c>
      <c r="S673" t="s">
        <v>2037</v>
      </c>
      <c r="T673" t="s">
        <v>2038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>
        <f t="shared" si="40"/>
        <v>56</v>
      </c>
      <c r="G674" s="4" t="s">
        <v>14</v>
      </c>
      <c r="H674">
        <v>4428</v>
      </c>
      <c r="I674">
        <f t="shared" si="41"/>
        <v>25</v>
      </c>
      <c r="J674" t="s">
        <v>26</v>
      </c>
      <c r="K674" t="s">
        <v>27</v>
      </c>
      <c r="L674">
        <v>1521608400</v>
      </c>
      <c r="M674">
        <v>1522472400</v>
      </c>
      <c r="N674" s="19">
        <f t="shared" si="42"/>
        <v>43180.208333333328</v>
      </c>
      <c r="O674" s="19">
        <f t="shared" si="43"/>
        <v>43190.208333333328</v>
      </c>
      <c r="P674" t="b">
        <v>0</v>
      </c>
      <c r="Q674" t="b">
        <v>0</v>
      </c>
      <c r="R674" t="s">
        <v>33</v>
      </c>
      <c r="S674" t="s">
        <v>2037</v>
      </c>
      <c r="T674" t="s">
        <v>2038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>
        <f t="shared" si="40"/>
        <v>44</v>
      </c>
      <c r="G675" s="4" t="s">
        <v>14</v>
      </c>
      <c r="H675">
        <v>58</v>
      </c>
      <c r="I675">
        <f t="shared" si="41"/>
        <v>42.16</v>
      </c>
      <c r="J675" t="s">
        <v>107</v>
      </c>
      <c r="K675" t="s">
        <v>108</v>
      </c>
      <c r="L675">
        <v>1460696400</v>
      </c>
      <c r="M675">
        <v>1462510800</v>
      </c>
      <c r="N675" s="19">
        <f t="shared" si="42"/>
        <v>42475.208333333328</v>
      </c>
      <c r="O675" s="19">
        <f t="shared" si="43"/>
        <v>42496.208333333328</v>
      </c>
      <c r="P675" t="b">
        <v>0</v>
      </c>
      <c r="Q675" t="b">
        <v>0</v>
      </c>
      <c r="R675" t="s">
        <v>60</v>
      </c>
      <c r="S675" t="s">
        <v>2033</v>
      </c>
      <c r="T675" t="s">
        <v>2043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>
        <f t="shared" si="40"/>
        <v>34</v>
      </c>
      <c r="G676" s="7" t="s">
        <v>74</v>
      </c>
      <c r="H676">
        <v>1218</v>
      </c>
      <c r="I676">
        <f t="shared" si="41"/>
        <v>47</v>
      </c>
      <c r="J676" t="s">
        <v>21</v>
      </c>
      <c r="K676" t="s">
        <v>22</v>
      </c>
      <c r="L676">
        <v>1313730000</v>
      </c>
      <c r="M676">
        <v>1317790800</v>
      </c>
      <c r="N676" s="19">
        <f t="shared" si="42"/>
        <v>40774.208333333336</v>
      </c>
      <c r="O676" s="19">
        <f t="shared" si="43"/>
        <v>40821.208333333336</v>
      </c>
      <c r="P676" t="b">
        <v>0</v>
      </c>
      <c r="Q676" t="b">
        <v>0</v>
      </c>
      <c r="R676" t="s">
        <v>122</v>
      </c>
      <c r="S676" t="s">
        <v>2052</v>
      </c>
      <c r="T676" t="s">
        <v>2053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>
        <f t="shared" si="40"/>
        <v>123</v>
      </c>
      <c r="G677" s="5" t="s">
        <v>20</v>
      </c>
      <c r="H677">
        <v>331</v>
      </c>
      <c r="I677">
        <f t="shared" si="41"/>
        <v>36.04</v>
      </c>
      <c r="J677" t="s">
        <v>21</v>
      </c>
      <c r="K677" t="s">
        <v>22</v>
      </c>
      <c r="L677">
        <v>1568178000</v>
      </c>
      <c r="M677">
        <v>1568782800</v>
      </c>
      <c r="N677" s="19">
        <f t="shared" si="42"/>
        <v>43719.208333333328</v>
      </c>
      <c r="O677" s="19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2062</v>
      </c>
      <c r="T677" t="s">
        <v>2063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>
        <f t="shared" si="40"/>
        <v>190</v>
      </c>
      <c r="G678" s="5" t="s">
        <v>20</v>
      </c>
      <c r="H678">
        <v>1170</v>
      </c>
      <c r="I678">
        <f t="shared" si="41"/>
        <v>101.04</v>
      </c>
      <c r="J678" t="s">
        <v>21</v>
      </c>
      <c r="K678" t="s">
        <v>22</v>
      </c>
      <c r="L678">
        <v>1348635600</v>
      </c>
      <c r="M678">
        <v>1349413200</v>
      </c>
      <c r="N678" s="19">
        <f t="shared" si="42"/>
        <v>41178.208333333336</v>
      </c>
      <c r="O678" s="19">
        <f t="shared" si="43"/>
        <v>41187.208333333336</v>
      </c>
      <c r="P678" t="b">
        <v>0</v>
      </c>
      <c r="Q678" t="b">
        <v>0</v>
      </c>
      <c r="R678" t="s">
        <v>122</v>
      </c>
      <c r="S678" t="s">
        <v>2052</v>
      </c>
      <c r="T678" t="s">
        <v>2053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>
        <f t="shared" si="40"/>
        <v>84</v>
      </c>
      <c r="G679" s="4" t="s">
        <v>14</v>
      </c>
      <c r="H679">
        <v>111</v>
      </c>
      <c r="I679">
        <f t="shared" si="41"/>
        <v>39.93</v>
      </c>
      <c r="J679" t="s">
        <v>21</v>
      </c>
      <c r="K679" t="s">
        <v>22</v>
      </c>
      <c r="L679">
        <v>1468126800</v>
      </c>
      <c r="M679">
        <v>1472446800</v>
      </c>
      <c r="N679" s="19">
        <f t="shared" si="42"/>
        <v>42561.208333333328</v>
      </c>
      <c r="O679" s="19">
        <f t="shared" si="43"/>
        <v>42611.208333333328</v>
      </c>
      <c r="P679" t="b">
        <v>0</v>
      </c>
      <c r="Q679" t="b">
        <v>0</v>
      </c>
      <c r="R679" t="s">
        <v>119</v>
      </c>
      <c r="S679" t="s">
        <v>2045</v>
      </c>
      <c r="T679" t="s">
        <v>2051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>
        <f t="shared" si="40"/>
        <v>18</v>
      </c>
      <c r="G680" s="7" t="s">
        <v>74</v>
      </c>
      <c r="H680">
        <v>215</v>
      </c>
      <c r="I680">
        <f t="shared" si="41"/>
        <v>83.16</v>
      </c>
      <c r="J680" t="s">
        <v>21</v>
      </c>
      <c r="K680" t="s">
        <v>22</v>
      </c>
      <c r="L680">
        <v>1547877600</v>
      </c>
      <c r="M680">
        <v>1548050400</v>
      </c>
      <c r="N680" s="19">
        <f t="shared" si="42"/>
        <v>43484.25</v>
      </c>
      <c r="O680" s="19">
        <f t="shared" si="43"/>
        <v>43486.25</v>
      </c>
      <c r="P680" t="b">
        <v>0</v>
      </c>
      <c r="Q680" t="b">
        <v>0</v>
      </c>
      <c r="R680" t="s">
        <v>53</v>
      </c>
      <c r="S680" t="s">
        <v>2039</v>
      </c>
      <c r="T680" t="s">
        <v>2042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>
        <f t="shared" si="40"/>
        <v>1037</v>
      </c>
      <c r="G681" s="5" t="s">
        <v>20</v>
      </c>
      <c r="H681">
        <v>363</v>
      </c>
      <c r="I681">
        <f t="shared" si="41"/>
        <v>39.979999999999997</v>
      </c>
      <c r="J681" t="s">
        <v>21</v>
      </c>
      <c r="K681" t="s">
        <v>22</v>
      </c>
      <c r="L681">
        <v>1571374800</v>
      </c>
      <c r="M681">
        <v>1571806800</v>
      </c>
      <c r="N681" s="19">
        <f t="shared" si="42"/>
        <v>43756.208333333328</v>
      </c>
      <c r="O681" s="19">
        <f t="shared" si="43"/>
        <v>43761.208333333328</v>
      </c>
      <c r="P681" t="b">
        <v>0</v>
      </c>
      <c r="Q681" t="b">
        <v>1</v>
      </c>
      <c r="R681" t="s">
        <v>17</v>
      </c>
      <c r="S681" t="s">
        <v>2031</v>
      </c>
      <c r="T681" t="s">
        <v>2032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>
        <f t="shared" si="40"/>
        <v>97</v>
      </c>
      <c r="G682" s="4" t="s">
        <v>14</v>
      </c>
      <c r="H682">
        <v>2955</v>
      </c>
      <c r="I682">
        <f t="shared" si="41"/>
        <v>47.99</v>
      </c>
      <c r="J682" t="s">
        <v>21</v>
      </c>
      <c r="K682" t="s">
        <v>22</v>
      </c>
      <c r="L682">
        <v>1576303200</v>
      </c>
      <c r="M682">
        <v>1576476000</v>
      </c>
      <c r="N682" s="19">
        <f t="shared" si="42"/>
        <v>43813.25</v>
      </c>
      <c r="O682" s="19">
        <f t="shared" si="43"/>
        <v>43815.25</v>
      </c>
      <c r="P682" t="b">
        <v>0</v>
      </c>
      <c r="Q682" t="b">
        <v>1</v>
      </c>
      <c r="R682" t="s">
        <v>292</v>
      </c>
      <c r="S682" t="s">
        <v>2048</v>
      </c>
      <c r="T682" t="s">
        <v>2059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>
        <f t="shared" si="40"/>
        <v>86</v>
      </c>
      <c r="G683" s="4" t="s">
        <v>14</v>
      </c>
      <c r="H683">
        <v>1657</v>
      </c>
      <c r="I683">
        <f t="shared" si="41"/>
        <v>95.98</v>
      </c>
      <c r="J683" t="s">
        <v>21</v>
      </c>
      <c r="K683" t="s">
        <v>22</v>
      </c>
      <c r="L683">
        <v>1324447200</v>
      </c>
      <c r="M683">
        <v>1324965600</v>
      </c>
      <c r="N683" s="19">
        <f t="shared" si="42"/>
        <v>40898.25</v>
      </c>
      <c r="O683" s="19">
        <f t="shared" si="43"/>
        <v>40904.25</v>
      </c>
      <c r="P683" t="b">
        <v>0</v>
      </c>
      <c r="Q683" t="b">
        <v>0</v>
      </c>
      <c r="R683" t="s">
        <v>33</v>
      </c>
      <c r="S683" t="s">
        <v>2037</v>
      </c>
      <c r="T683" t="s">
        <v>2038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>
        <f t="shared" si="40"/>
        <v>150</v>
      </c>
      <c r="G684" s="5" t="s">
        <v>20</v>
      </c>
      <c r="H684">
        <v>103</v>
      </c>
      <c r="I684">
        <f t="shared" si="41"/>
        <v>78.73</v>
      </c>
      <c r="J684" t="s">
        <v>21</v>
      </c>
      <c r="K684" t="s">
        <v>22</v>
      </c>
      <c r="L684">
        <v>1386741600</v>
      </c>
      <c r="M684">
        <v>1387519200</v>
      </c>
      <c r="N684" s="19">
        <f t="shared" si="42"/>
        <v>41619.25</v>
      </c>
      <c r="O684" s="19">
        <f t="shared" si="43"/>
        <v>41628.25</v>
      </c>
      <c r="P684" t="b">
        <v>0</v>
      </c>
      <c r="Q684" t="b">
        <v>0</v>
      </c>
      <c r="R684" t="s">
        <v>33</v>
      </c>
      <c r="S684" t="s">
        <v>2037</v>
      </c>
      <c r="T684" t="s">
        <v>2038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>
        <f t="shared" si="40"/>
        <v>358</v>
      </c>
      <c r="G685" s="5" t="s">
        <v>20</v>
      </c>
      <c r="H685">
        <v>147</v>
      </c>
      <c r="I685">
        <f t="shared" si="41"/>
        <v>56.08</v>
      </c>
      <c r="J685" t="s">
        <v>21</v>
      </c>
      <c r="K685" t="s">
        <v>22</v>
      </c>
      <c r="L685">
        <v>1537074000</v>
      </c>
      <c r="M685">
        <v>1537246800</v>
      </c>
      <c r="N685" s="19">
        <f t="shared" si="42"/>
        <v>43359.208333333328</v>
      </c>
      <c r="O685" s="19">
        <f t="shared" si="43"/>
        <v>43361.208333333328</v>
      </c>
      <c r="P685" t="b">
        <v>0</v>
      </c>
      <c r="Q685" t="b">
        <v>0</v>
      </c>
      <c r="R685" t="s">
        <v>33</v>
      </c>
      <c r="S685" t="s">
        <v>2037</v>
      </c>
      <c r="T685" t="s">
        <v>2038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>
        <f t="shared" si="40"/>
        <v>543</v>
      </c>
      <c r="G686" s="5" t="s">
        <v>20</v>
      </c>
      <c r="H686">
        <v>110</v>
      </c>
      <c r="I686">
        <f t="shared" si="41"/>
        <v>69.09</v>
      </c>
      <c r="J686" t="s">
        <v>15</v>
      </c>
      <c r="K686" t="s">
        <v>16</v>
      </c>
      <c r="L686">
        <v>1277787600</v>
      </c>
      <c r="M686">
        <v>1279515600</v>
      </c>
      <c r="N686" s="19">
        <f t="shared" si="42"/>
        <v>40358.208333333336</v>
      </c>
      <c r="O686" s="19">
        <f t="shared" si="43"/>
        <v>40378.208333333336</v>
      </c>
      <c r="P686" t="b">
        <v>0</v>
      </c>
      <c r="Q686" t="b">
        <v>0</v>
      </c>
      <c r="R686" t="s">
        <v>68</v>
      </c>
      <c r="S686" t="s">
        <v>2045</v>
      </c>
      <c r="T686" t="s">
        <v>2046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>
        <f t="shared" si="40"/>
        <v>68</v>
      </c>
      <c r="G687" s="4" t="s">
        <v>14</v>
      </c>
      <c r="H687">
        <v>926</v>
      </c>
      <c r="I687">
        <f t="shared" si="41"/>
        <v>102.05</v>
      </c>
      <c r="J687" t="s">
        <v>15</v>
      </c>
      <c r="K687" t="s">
        <v>16</v>
      </c>
      <c r="L687">
        <v>1440306000</v>
      </c>
      <c r="M687">
        <v>1442379600</v>
      </c>
      <c r="N687" s="19">
        <f t="shared" si="42"/>
        <v>42239.208333333328</v>
      </c>
      <c r="O687" s="19">
        <f t="shared" si="43"/>
        <v>42263.208333333328</v>
      </c>
      <c r="P687" t="b">
        <v>0</v>
      </c>
      <c r="Q687" t="b">
        <v>0</v>
      </c>
      <c r="R687" t="s">
        <v>33</v>
      </c>
      <c r="S687" t="s">
        <v>2037</v>
      </c>
      <c r="T687" t="s">
        <v>2038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>
        <f t="shared" si="40"/>
        <v>192</v>
      </c>
      <c r="G688" s="5" t="s">
        <v>20</v>
      </c>
      <c r="H688">
        <v>134</v>
      </c>
      <c r="I688">
        <f t="shared" si="41"/>
        <v>107.32</v>
      </c>
      <c r="J688" t="s">
        <v>21</v>
      </c>
      <c r="K688" t="s">
        <v>22</v>
      </c>
      <c r="L688">
        <v>1522126800</v>
      </c>
      <c r="M688">
        <v>1523077200</v>
      </c>
      <c r="N688" s="19">
        <f t="shared" si="42"/>
        <v>43186.208333333328</v>
      </c>
      <c r="O688" s="19">
        <f t="shared" si="43"/>
        <v>43197.208333333328</v>
      </c>
      <c r="P688" t="b">
        <v>0</v>
      </c>
      <c r="Q688" t="b">
        <v>0</v>
      </c>
      <c r="R688" t="s">
        <v>65</v>
      </c>
      <c r="S688" t="s">
        <v>2035</v>
      </c>
      <c r="T688" t="s">
        <v>2044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>
        <f t="shared" si="40"/>
        <v>932</v>
      </c>
      <c r="G689" s="5" t="s">
        <v>20</v>
      </c>
      <c r="H689">
        <v>269</v>
      </c>
      <c r="I689">
        <f t="shared" si="41"/>
        <v>51.97</v>
      </c>
      <c r="J689" t="s">
        <v>21</v>
      </c>
      <c r="K689" t="s">
        <v>22</v>
      </c>
      <c r="L689">
        <v>1489298400</v>
      </c>
      <c r="M689">
        <v>1489554000</v>
      </c>
      <c r="N689" s="19">
        <f t="shared" si="42"/>
        <v>42806.25</v>
      </c>
      <c r="O689" s="19">
        <f t="shared" si="43"/>
        <v>42809.208333333328</v>
      </c>
      <c r="P689" t="b">
        <v>0</v>
      </c>
      <c r="Q689" t="b">
        <v>0</v>
      </c>
      <c r="R689" t="s">
        <v>33</v>
      </c>
      <c r="S689" t="s">
        <v>2037</v>
      </c>
      <c r="T689" t="s">
        <v>2038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>
        <f t="shared" si="40"/>
        <v>429</v>
      </c>
      <c r="G690" s="5" t="s">
        <v>20</v>
      </c>
      <c r="H690">
        <v>175</v>
      </c>
      <c r="I690">
        <f t="shared" si="41"/>
        <v>71.14</v>
      </c>
      <c r="J690" t="s">
        <v>21</v>
      </c>
      <c r="K690" t="s">
        <v>22</v>
      </c>
      <c r="L690">
        <v>1547100000</v>
      </c>
      <c r="M690">
        <v>1548482400</v>
      </c>
      <c r="N690" s="19">
        <f t="shared" si="42"/>
        <v>43475.25</v>
      </c>
      <c r="O690" s="19">
        <f t="shared" si="43"/>
        <v>43491.25</v>
      </c>
      <c r="P690" t="b">
        <v>0</v>
      </c>
      <c r="Q690" t="b">
        <v>1</v>
      </c>
      <c r="R690" t="s">
        <v>269</v>
      </c>
      <c r="S690" t="s">
        <v>2039</v>
      </c>
      <c r="T690" t="s">
        <v>2058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>
        <f t="shared" si="40"/>
        <v>101</v>
      </c>
      <c r="G691" s="5" t="s">
        <v>20</v>
      </c>
      <c r="H691">
        <v>69</v>
      </c>
      <c r="I691">
        <f t="shared" si="41"/>
        <v>106.49</v>
      </c>
      <c r="J691" t="s">
        <v>21</v>
      </c>
      <c r="K691" t="s">
        <v>22</v>
      </c>
      <c r="L691">
        <v>1383022800</v>
      </c>
      <c r="M691">
        <v>1384063200</v>
      </c>
      <c r="N691" s="19">
        <f t="shared" si="42"/>
        <v>41576.208333333336</v>
      </c>
      <c r="O691" s="19">
        <f t="shared" si="43"/>
        <v>41588.25</v>
      </c>
      <c r="P691" t="b">
        <v>0</v>
      </c>
      <c r="Q691" t="b">
        <v>0</v>
      </c>
      <c r="R691" t="s">
        <v>28</v>
      </c>
      <c r="S691" t="s">
        <v>2035</v>
      </c>
      <c r="T691" t="s">
        <v>2036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>
        <f t="shared" si="40"/>
        <v>227</v>
      </c>
      <c r="G692" s="5" t="s">
        <v>20</v>
      </c>
      <c r="H692">
        <v>190</v>
      </c>
      <c r="I692">
        <f t="shared" si="41"/>
        <v>42.94</v>
      </c>
      <c r="J692" t="s">
        <v>21</v>
      </c>
      <c r="K692" t="s">
        <v>22</v>
      </c>
      <c r="L692">
        <v>1322373600</v>
      </c>
      <c r="M692">
        <v>1322892000</v>
      </c>
      <c r="N692" s="19">
        <f t="shared" si="42"/>
        <v>40874.25</v>
      </c>
      <c r="O692" s="19">
        <f t="shared" si="43"/>
        <v>40880.25</v>
      </c>
      <c r="P692" t="b">
        <v>0</v>
      </c>
      <c r="Q692" t="b">
        <v>1</v>
      </c>
      <c r="R692" t="s">
        <v>42</v>
      </c>
      <c r="S692" t="s">
        <v>2039</v>
      </c>
      <c r="T692" t="s">
        <v>2040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>
        <f t="shared" si="40"/>
        <v>142</v>
      </c>
      <c r="G693" s="5" t="s">
        <v>20</v>
      </c>
      <c r="H693">
        <v>237</v>
      </c>
      <c r="I693">
        <f t="shared" si="41"/>
        <v>30.04</v>
      </c>
      <c r="J693" t="s">
        <v>21</v>
      </c>
      <c r="K693" t="s">
        <v>22</v>
      </c>
      <c r="L693">
        <v>1349240400</v>
      </c>
      <c r="M693">
        <v>1350709200</v>
      </c>
      <c r="N693" s="19">
        <f t="shared" si="42"/>
        <v>41185.208333333336</v>
      </c>
      <c r="O693" s="19">
        <f t="shared" si="43"/>
        <v>41202.208333333336</v>
      </c>
      <c r="P693" t="b">
        <v>1</v>
      </c>
      <c r="Q693" t="b">
        <v>1</v>
      </c>
      <c r="R693" t="s">
        <v>42</v>
      </c>
      <c r="S693" t="s">
        <v>2039</v>
      </c>
      <c r="T693" t="s">
        <v>2040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>
        <f t="shared" si="40"/>
        <v>91</v>
      </c>
      <c r="G694" s="4" t="s">
        <v>14</v>
      </c>
      <c r="H694">
        <v>77</v>
      </c>
      <c r="I694">
        <f t="shared" si="41"/>
        <v>70.62</v>
      </c>
      <c r="J694" t="s">
        <v>40</v>
      </c>
      <c r="K694" t="s">
        <v>41</v>
      </c>
      <c r="L694">
        <v>1562648400</v>
      </c>
      <c r="M694">
        <v>1564203600</v>
      </c>
      <c r="N694" s="19">
        <f t="shared" si="42"/>
        <v>43655.208333333328</v>
      </c>
      <c r="O694" s="19">
        <f t="shared" si="43"/>
        <v>43673.208333333328</v>
      </c>
      <c r="P694" t="b">
        <v>0</v>
      </c>
      <c r="Q694" t="b">
        <v>0</v>
      </c>
      <c r="R694" t="s">
        <v>23</v>
      </c>
      <c r="S694" t="s">
        <v>2033</v>
      </c>
      <c r="T694" t="s">
        <v>2034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>
        <f t="shared" si="40"/>
        <v>64</v>
      </c>
      <c r="G695" s="4" t="s">
        <v>14</v>
      </c>
      <c r="H695">
        <v>1748</v>
      </c>
      <c r="I695">
        <f t="shared" si="41"/>
        <v>66.02</v>
      </c>
      <c r="J695" t="s">
        <v>21</v>
      </c>
      <c r="K695" t="s">
        <v>22</v>
      </c>
      <c r="L695">
        <v>1508216400</v>
      </c>
      <c r="M695">
        <v>1509685200</v>
      </c>
      <c r="N695" s="19">
        <f t="shared" si="42"/>
        <v>43025.208333333328</v>
      </c>
      <c r="O695" s="19">
        <f t="shared" si="43"/>
        <v>43042.208333333328</v>
      </c>
      <c r="P695" t="b">
        <v>0</v>
      </c>
      <c r="Q695" t="b">
        <v>0</v>
      </c>
      <c r="R695" t="s">
        <v>33</v>
      </c>
      <c r="S695" t="s">
        <v>2037</v>
      </c>
      <c r="T695" t="s">
        <v>2038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>
        <f t="shared" si="40"/>
        <v>84</v>
      </c>
      <c r="G696" s="4" t="s">
        <v>14</v>
      </c>
      <c r="H696">
        <v>79</v>
      </c>
      <c r="I696">
        <f t="shared" si="41"/>
        <v>96.91</v>
      </c>
      <c r="J696" t="s">
        <v>21</v>
      </c>
      <c r="K696" t="s">
        <v>22</v>
      </c>
      <c r="L696">
        <v>1511762400</v>
      </c>
      <c r="M696">
        <v>1514959200</v>
      </c>
      <c r="N696" s="19">
        <f t="shared" si="42"/>
        <v>43066.25</v>
      </c>
      <c r="O696" s="19">
        <f t="shared" si="43"/>
        <v>43103.25</v>
      </c>
      <c r="P696" t="b">
        <v>0</v>
      </c>
      <c r="Q696" t="b">
        <v>0</v>
      </c>
      <c r="R696" t="s">
        <v>33</v>
      </c>
      <c r="S696" t="s">
        <v>2037</v>
      </c>
      <c r="T696" t="s">
        <v>2038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>
        <f t="shared" si="40"/>
        <v>134</v>
      </c>
      <c r="G697" s="5" t="s">
        <v>20</v>
      </c>
      <c r="H697">
        <v>196</v>
      </c>
      <c r="I697">
        <f t="shared" si="41"/>
        <v>62.87</v>
      </c>
      <c r="J697" t="s">
        <v>107</v>
      </c>
      <c r="K697" t="s">
        <v>108</v>
      </c>
      <c r="L697">
        <v>1447480800</v>
      </c>
      <c r="M697">
        <v>1448863200</v>
      </c>
      <c r="N697" s="19">
        <f t="shared" si="42"/>
        <v>42322.25</v>
      </c>
      <c r="O697" s="19">
        <f t="shared" si="43"/>
        <v>42338.25</v>
      </c>
      <c r="P697" t="b">
        <v>1</v>
      </c>
      <c r="Q697" t="b">
        <v>0</v>
      </c>
      <c r="R697" t="s">
        <v>23</v>
      </c>
      <c r="S697" t="s">
        <v>2033</v>
      </c>
      <c r="T697" t="s">
        <v>2034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>
        <f t="shared" si="40"/>
        <v>59</v>
      </c>
      <c r="G698" s="4" t="s">
        <v>14</v>
      </c>
      <c r="H698">
        <v>889</v>
      </c>
      <c r="I698">
        <f t="shared" si="41"/>
        <v>108.99</v>
      </c>
      <c r="J698" t="s">
        <v>21</v>
      </c>
      <c r="K698" t="s">
        <v>22</v>
      </c>
      <c r="L698">
        <v>1429506000</v>
      </c>
      <c r="M698">
        <v>1429592400</v>
      </c>
      <c r="N698" s="19">
        <f t="shared" si="42"/>
        <v>42114.208333333328</v>
      </c>
      <c r="O698" s="19">
        <f t="shared" si="43"/>
        <v>42115.208333333328</v>
      </c>
      <c r="P698" t="b">
        <v>0</v>
      </c>
      <c r="Q698" t="b">
        <v>1</v>
      </c>
      <c r="R698" t="s">
        <v>33</v>
      </c>
      <c r="S698" t="s">
        <v>2037</v>
      </c>
      <c r="T698" t="s">
        <v>2038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>
        <f t="shared" si="40"/>
        <v>153</v>
      </c>
      <c r="G699" s="5" t="s">
        <v>20</v>
      </c>
      <c r="H699">
        <v>7295</v>
      </c>
      <c r="I699">
        <f t="shared" si="41"/>
        <v>27</v>
      </c>
      <c r="J699" t="s">
        <v>21</v>
      </c>
      <c r="K699" t="s">
        <v>22</v>
      </c>
      <c r="L699">
        <v>1522472400</v>
      </c>
      <c r="M699">
        <v>1522645200</v>
      </c>
      <c r="N699" s="19">
        <f t="shared" si="42"/>
        <v>43190.208333333328</v>
      </c>
      <c r="O699" s="19">
        <f t="shared" si="43"/>
        <v>43192.208333333328</v>
      </c>
      <c r="P699" t="b">
        <v>0</v>
      </c>
      <c r="Q699" t="b">
        <v>0</v>
      </c>
      <c r="R699" t="s">
        <v>50</v>
      </c>
      <c r="S699" t="s">
        <v>2033</v>
      </c>
      <c r="T699" t="s">
        <v>2041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>
        <f t="shared" si="40"/>
        <v>447</v>
      </c>
      <c r="G700" s="5" t="s">
        <v>20</v>
      </c>
      <c r="H700">
        <v>2893</v>
      </c>
      <c r="I700">
        <f t="shared" si="41"/>
        <v>65</v>
      </c>
      <c r="J700" t="s">
        <v>15</v>
      </c>
      <c r="K700" t="s">
        <v>16</v>
      </c>
      <c r="L700">
        <v>1322114400</v>
      </c>
      <c r="M700">
        <v>1323324000</v>
      </c>
      <c r="N700" s="19">
        <f t="shared" si="42"/>
        <v>40871.25</v>
      </c>
      <c r="O700" s="19">
        <f t="shared" si="43"/>
        <v>40885.25</v>
      </c>
      <c r="P700" t="b">
        <v>0</v>
      </c>
      <c r="Q700" t="b">
        <v>0</v>
      </c>
      <c r="R700" t="s">
        <v>65</v>
      </c>
      <c r="S700" t="s">
        <v>2035</v>
      </c>
      <c r="T700" t="s">
        <v>2044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>
        <f t="shared" si="40"/>
        <v>84</v>
      </c>
      <c r="G701" s="4" t="s">
        <v>14</v>
      </c>
      <c r="H701">
        <v>56</v>
      </c>
      <c r="I701">
        <f t="shared" si="41"/>
        <v>111.52</v>
      </c>
      <c r="J701" t="s">
        <v>21</v>
      </c>
      <c r="K701" t="s">
        <v>22</v>
      </c>
      <c r="L701">
        <v>1561438800</v>
      </c>
      <c r="M701">
        <v>1561525200</v>
      </c>
      <c r="N701" s="19">
        <f t="shared" si="42"/>
        <v>43641.208333333328</v>
      </c>
      <c r="O701" s="19">
        <f t="shared" si="43"/>
        <v>43642.208333333328</v>
      </c>
      <c r="P701" t="b">
        <v>0</v>
      </c>
      <c r="Q701" t="b">
        <v>0</v>
      </c>
      <c r="R701" t="s">
        <v>53</v>
      </c>
      <c r="S701" t="s">
        <v>2039</v>
      </c>
      <c r="T701" t="s">
        <v>2042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>
        <f t="shared" si="40"/>
        <v>3</v>
      </c>
      <c r="G702" s="4" t="s">
        <v>14</v>
      </c>
      <c r="H702">
        <v>1</v>
      </c>
      <c r="I702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s="19">
        <f t="shared" si="42"/>
        <v>40203.25</v>
      </c>
      <c r="O702" s="19">
        <f t="shared" si="43"/>
        <v>40218.25</v>
      </c>
      <c r="P702" t="b">
        <v>0</v>
      </c>
      <c r="Q702" t="b">
        <v>0</v>
      </c>
      <c r="R702" t="s">
        <v>65</v>
      </c>
      <c r="S702" t="s">
        <v>2035</v>
      </c>
      <c r="T702" t="s">
        <v>2044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>
        <f t="shared" si="40"/>
        <v>175</v>
      </c>
      <c r="G703" s="5" t="s">
        <v>20</v>
      </c>
      <c r="H703">
        <v>820</v>
      </c>
      <c r="I703">
        <f t="shared" si="41"/>
        <v>110.99</v>
      </c>
      <c r="J703" t="s">
        <v>21</v>
      </c>
      <c r="K703" t="s">
        <v>22</v>
      </c>
      <c r="L703">
        <v>1301202000</v>
      </c>
      <c r="M703">
        <v>1301806800</v>
      </c>
      <c r="N703" s="19">
        <f t="shared" si="42"/>
        <v>40629.208333333336</v>
      </c>
      <c r="O703" s="19">
        <f t="shared" si="43"/>
        <v>40636.208333333336</v>
      </c>
      <c r="P703" t="b">
        <v>1</v>
      </c>
      <c r="Q703" t="b">
        <v>0</v>
      </c>
      <c r="R703" t="s">
        <v>33</v>
      </c>
      <c r="S703" t="s">
        <v>2037</v>
      </c>
      <c r="T703" t="s">
        <v>2038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>
        <f t="shared" si="40"/>
        <v>54</v>
      </c>
      <c r="G704" s="4" t="s">
        <v>14</v>
      </c>
      <c r="H704">
        <v>83</v>
      </c>
      <c r="I704">
        <f t="shared" si="41"/>
        <v>56.75</v>
      </c>
      <c r="J704" t="s">
        <v>21</v>
      </c>
      <c r="K704" t="s">
        <v>22</v>
      </c>
      <c r="L704">
        <v>1374469200</v>
      </c>
      <c r="M704">
        <v>1374901200</v>
      </c>
      <c r="N704" s="19">
        <f t="shared" si="42"/>
        <v>41477.208333333336</v>
      </c>
      <c r="O704" s="19">
        <f t="shared" si="43"/>
        <v>41482.208333333336</v>
      </c>
      <c r="P704" t="b">
        <v>0</v>
      </c>
      <c r="Q704" t="b">
        <v>0</v>
      </c>
      <c r="R704" t="s">
        <v>65</v>
      </c>
      <c r="S704" t="s">
        <v>2035</v>
      </c>
      <c r="T704" t="s">
        <v>2044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>
        <f t="shared" si="40"/>
        <v>312</v>
      </c>
      <c r="G705" s="5" t="s">
        <v>20</v>
      </c>
      <c r="H705">
        <v>2038</v>
      </c>
      <c r="I705">
        <f t="shared" si="41"/>
        <v>97.02</v>
      </c>
      <c r="J705" t="s">
        <v>21</v>
      </c>
      <c r="K705" t="s">
        <v>22</v>
      </c>
      <c r="L705">
        <v>1334984400</v>
      </c>
      <c r="M705">
        <v>1336453200</v>
      </c>
      <c r="N705" s="19">
        <f t="shared" si="42"/>
        <v>41020.208333333336</v>
      </c>
      <c r="O705" s="19">
        <f t="shared" si="43"/>
        <v>41037.208333333336</v>
      </c>
      <c r="P705" t="b">
        <v>1</v>
      </c>
      <c r="Q705" t="b">
        <v>1</v>
      </c>
      <c r="R705" t="s">
        <v>206</v>
      </c>
      <c r="S705" t="s">
        <v>2045</v>
      </c>
      <c r="T705" t="s">
        <v>2057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>
        <f t="shared" si="40"/>
        <v>123</v>
      </c>
      <c r="G706" s="5" t="s">
        <v>20</v>
      </c>
      <c r="H706">
        <v>116</v>
      </c>
      <c r="I706">
        <f t="shared" si="41"/>
        <v>92.09</v>
      </c>
      <c r="J706" t="s">
        <v>21</v>
      </c>
      <c r="K706" t="s">
        <v>22</v>
      </c>
      <c r="L706">
        <v>1467608400</v>
      </c>
      <c r="M706">
        <v>1468904400</v>
      </c>
      <c r="N706" s="19">
        <f t="shared" si="42"/>
        <v>42555.208333333328</v>
      </c>
      <c r="O706" s="19">
        <f t="shared" si="43"/>
        <v>42570.208333333328</v>
      </c>
      <c r="P706" t="b">
        <v>0</v>
      </c>
      <c r="Q706" t="b">
        <v>0</v>
      </c>
      <c r="R706" t="s">
        <v>71</v>
      </c>
      <c r="S706" t="s">
        <v>2039</v>
      </c>
      <c r="T706" t="s">
        <v>2047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>
        <f t="shared" ref="F707:F770" si="44">ROUND(E707/D707*100,0)</f>
        <v>99</v>
      </c>
      <c r="G707" s="4" t="s">
        <v>14</v>
      </c>
      <c r="H707">
        <v>2025</v>
      </c>
      <c r="I707">
        <f t="shared" ref="I707:I770" si="45">ROUND(E707/H707,2)</f>
        <v>82.99</v>
      </c>
      <c r="J707" t="s">
        <v>40</v>
      </c>
      <c r="K707" t="s">
        <v>41</v>
      </c>
      <c r="L707">
        <v>1386741600</v>
      </c>
      <c r="M707">
        <v>1387087200</v>
      </c>
      <c r="N707" s="19">
        <f t="shared" ref="N707:N770" si="46">(((L707/60)/60)/24)+DATE(1970,1,1)</f>
        <v>41619.25</v>
      </c>
      <c r="O707" s="19">
        <f t="shared" ref="O707:O770" si="47">(((M707/60)/60)/24)+DATE(1970,1,1)</f>
        <v>41623.25</v>
      </c>
      <c r="P707" t="b">
        <v>0</v>
      </c>
      <c r="Q707" t="b">
        <v>0</v>
      </c>
      <c r="R707" t="s">
        <v>68</v>
      </c>
      <c r="S707" t="s">
        <v>2045</v>
      </c>
      <c r="T707" t="s">
        <v>2046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>
        <f t="shared" si="44"/>
        <v>128</v>
      </c>
      <c r="G708" s="5" t="s">
        <v>20</v>
      </c>
      <c r="H708">
        <v>1345</v>
      </c>
      <c r="I708">
        <f t="shared" si="45"/>
        <v>103.04</v>
      </c>
      <c r="J708" t="s">
        <v>26</v>
      </c>
      <c r="K708" t="s">
        <v>27</v>
      </c>
      <c r="L708">
        <v>1546754400</v>
      </c>
      <c r="M708">
        <v>1547445600</v>
      </c>
      <c r="N708" s="19">
        <f t="shared" si="46"/>
        <v>43471.25</v>
      </c>
      <c r="O708" s="19">
        <f t="shared" si="47"/>
        <v>43479.25</v>
      </c>
      <c r="P708" t="b">
        <v>0</v>
      </c>
      <c r="Q708" t="b">
        <v>1</v>
      </c>
      <c r="R708" t="s">
        <v>28</v>
      </c>
      <c r="S708" t="s">
        <v>2035</v>
      </c>
      <c r="T708" t="s">
        <v>2036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>
        <f t="shared" si="44"/>
        <v>159</v>
      </c>
      <c r="G709" s="5" t="s">
        <v>20</v>
      </c>
      <c r="H709">
        <v>168</v>
      </c>
      <c r="I709">
        <f t="shared" si="45"/>
        <v>68.92</v>
      </c>
      <c r="J709" t="s">
        <v>21</v>
      </c>
      <c r="K709" t="s">
        <v>22</v>
      </c>
      <c r="L709">
        <v>1544248800</v>
      </c>
      <c r="M709">
        <v>1547359200</v>
      </c>
      <c r="N709" s="19">
        <f t="shared" si="46"/>
        <v>43442.25</v>
      </c>
      <c r="O709" s="19">
        <f t="shared" si="47"/>
        <v>43478.25</v>
      </c>
      <c r="P709" t="b">
        <v>0</v>
      </c>
      <c r="Q709" t="b">
        <v>0</v>
      </c>
      <c r="R709" t="s">
        <v>53</v>
      </c>
      <c r="S709" t="s">
        <v>2039</v>
      </c>
      <c r="T709" t="s">
        <v>2042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>
        <f t="shared" si="44"/>
        <v>707</v>
      </c>
      <c r="G710" s="5" t="s">
        <v>20</v>
      </c>
      <c r="H710">
        <v>137</v>
      </c>
      <c r="I710">
        <f t="shared" si="45"/>
        <v>87.74</v>
      </c>
      <c r="J710" t="s">
        <v>98</v>
      </c>
      <c r="K710" t="s">
        <v>99</v>
      </c>
      <c r="L710">
        <v>1495429200</v>
      </c>
      <c r="M710">
        <v>1496293200</v>
      </c>
      <c r="N710" s="19">
        <f t="shared" si="46"/>
        <v>42877.208333333328</v>
      </c>
      <c r="O710" s="19">
        <f t="shared" si="47"/>
        <v>42887.208333333328</v>
      </c>
      <c r="P710" t="b">
        <v>0</v>
      </c>
      <c r="Q710" t="b">
        <v>0</v>
      </c>
      <c r="R710" t="s">
        <v>33</v>
      </c>
      <c r="S710" t="s">
        <v>2037</v>
      </c>
      <c r="T710" t="s">
        <v>2038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>
        <f t="shared" si="44"/>
        <v>142</v>
      </c>
      <c r="G711" s="5" t="s">
        <v>20</v>
      </c>
      <c r="H711">
        <v>186</v>
      </c>
      <c r="I711">
        <f t="shared" si="45"/>
        <v>75.02</v>
      </c>
      <c r="J711" t="s">
        <v>107</v>
      </c>
      <c r="K711" t="s">
        <v>108</v>
      </c>
      <c r="L711">
        <v>1334811600</v>
      </c>
      <c r="M711">
        <v>1335416400</v>
      </c>
      <c r="N711" s="19">
        <f t="shared" si="46"/>
        <v>41018.208333333336</v>
      </c>
      <c r="O711" s="19">
        <f t="shared" si="47"/>
        <v>41025.208333333336</v>
      </c>
      <c r="P711" t="b">
        <v>0</v>
      </c>
      <c r="Q711" t="b">
        <v>0</v>
      </c>
      <c r="R711" t="s">
        <v>33</v>
      </c>
      <c r="S711" t="s">
        <v>2037</v>
      </c>
      <c r="T711" t="s">
        <v>2038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>
        <f t="shared" si="44"/>
        <v>148</v>
      </c>
      <c r="G712" s="5" t="s">
        <v>20</v>
      </c>
      <c r="H712">
        <v>125</v>
      </c>
      <c r="I712">
        <f t="shared" si="45"/>
        <v>50.86</v>
      </c>
      <c r="J712" t="s">
        <v>21</v>
      </c>
      <c r="K712" t="s">
        <v>22</v>
      </c>
      <c r="L712">
        <v>1531544400</v>
      </c>
      <c r="M712">
        <v>1532149200</v>
      </c>
      <c r="N712" s="19">
        <f t="shared" si="46"/>
        <v>43295.208333333328</v>
      </c>
      <c r="O712" s="19">
        <f t="shared" si="47"/>
        <v>43302.208333333328</v>
      </c>
      <c r="P712" t="b">
        <v>0</v>
      </c>
      <c r="Q712" t="b">
        <v>1</v>
      </c>
      <c r="R712" t="s">
        <v>33</v>
      </c>
      <c r="S712" t="s">
        <v>2037</v>
      </c>
      <c r="T712" t="s">
        <v>2038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>
        <f t="shared" si="44"/>
        <v>20</v>
      </c>
      <c r="G713" s="4" t="s">
        <v>14</v>
      </c>
      <c r="H713">
        <v>14</v>
      </c>
      <c r="I713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s="19">
        <f t="shared" si="46"/>
        <v>42393.25</v>
      </c>
      <c r="O713" s="19">
        <f t="shared" si="47"/>
        <v>42395.25</v>
      </c>
      <c r="P713" t="b">
        <v>1</v>
      </c>
      <c r="Q713" t="b">
        <v>1</v>
      </c>
      <c r="R713" t="s">
        <v>33</v>
      </c>
      <c r="S713" t="s">
        <v>2037</v>
      </c>
      <c r="T713" t="s">
        <v>2038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>
        <f t="shared" si="44"/>
        <v>1841</v>
      </c>
      <c r="G714" s="5" t="s">
        <v>20</v>
      </c>
      <c r="H714">
        <v>202</v>
      </c>
      <c r="I714">
        <f t="shared" si="45"/>
        <v>72.900000000000006</v>
      </c>
      <c r="J714" t="s">
        <v>21</v>
      </c>
      <c r="K714" t="s">
        <v>22</v>
      </c>
      <c r="L714">
        <v>1467954000</v>
      </c>
      <c r="M714">
        <v>1471496400</v>
      </c>
      <c r="N714" s="19">
        <f t="shared" si="46"/>
        <v>42559.208333333328</v>
      </c>
      <c r="O714" s="19">
        <f t="shared" si="47"/>
        <v>42600.208333333328</v>
      </c>
      <c r="P714" t="b">
        <v>0</v>
      </c>
      <c r="Q714" t="b">
        <v>0</v>
      </c>
      <c r="R714" t="s">
        <v>33</v>
      </c>
      <c r="S714" t="s">
        <v>2037</v>
      </c>
      <c r="T714" t="s">
        <v>2038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>
        <f t="shared" si="44"/>
        <v>162</v>
      </c>
      <c r="G715" s="5" t="s">
        <v>20</v>
      </c>
      <c r="H715">
        <v>103</v>
      </c>
      <c r="I715">
        <f t="shared" si="45"/>
        <v>108.49</v>
      </c>
      <c r="J715" t="s">
        <v>21</v>
      </c>
      <c r="K715" t="s">
        <v>22</v>
      </c>
      <c r="L715">
        <v>1471842000</v>
      </c>
      <c r="M715">
        <v>1472878800</v>
      </c>
      <c r="N715" s="19">
        <f t="shared" si="46"/>
        <v>42604.208333333328</v>
      </c>
      <c r="O715" s="19">
        <f t="shared" si="47"/>
        <v>42616.208333333328</v>
      </c>
      <c r="P715" t="b">
        <v>0</v>
      </c>
      <c r="Q715" t="b">
        <v>0</v>
      </c>
      <c r="R715" t="s">
        <v>133</v>
      </c>
      <c r="S715" t="s">
        <v>2045</v>
      </c>
      <c r="T715" t="s">
        <v>2054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>
        <f t="shared" si="44"/>
        <v>473</v>
      </c>
      <c r="G716" s="5" t="s">
        <v>20</v>
      </c>
      <c r="H716">
        <v>1785</v>
      </c>
      <c r="I716">
        <f t="shared" si="45"/>
        <v>101.98</v>
      </c>
      <c r="J716" t="s">
        <v>21</v>
      </c>
      <c r="K716" t="s">
        <v>22</v>
      </c>
      <c r="L716">
        <v>1408424400</v>
      </c>
      <c r="M716">
        <v>1408510800</v>
      </c>
      <c r="N716" s="19">
        <f t="shared" si="46"/>
        <v>41870.208333333336</v>
      </c>
      <c r="O716" s="19">
        <f t="shared" si="47"/>
        <v>41871.208333333336</v>
      </c>
      <c r="P716" t="b">
        <v>0</v>
      </c>
      <c r="Q716" t="b">
        <v>0</v>
      </c>
      <c r="R716" t="s">
        <v>23</v>
      </c>
      <c r="S716" t="s">
        <v>2033</v>
      </c>
      <c r="T716" t="s">
        <v>2034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>
        <f t="shared" si="44"/>
        <v>24</v>
      </c>
      <c r="G717" s="4" t="s">
        <v>14</v>
      </c>
      <c r="H717">
        <v>656</v>
      </c>
      <c r="I717">
        <f t="shared" si="45"/>
        <v>44.01</v>
      </c>
      <c r="J717" t="s">
        <v>21</v>
      </c>
      <c r="K717" t="s">
        <v>22</v>
      </c>
      <c r="L717">
        <v>1281157200</v>
      </c>
      <c r="M717">
        <v>1281589200</v>
      </c>
      <c r="N717" s="19">
        <f t="shared" si="46"/>
        <v>40397.208333333336</v>
      </c>
      <c r="O717" s="19">
        <f t="shared" si="47"/>
        <v>40402.208333333336</v>
      </c>
      <c r="P717" t="b">
        <v>0</v>
      </c>
      <c r="Q717" t="b">
        <v>0</v>
      </c>
      <c r="R717" t="s">
        <v>292</v>
      </c>
      <c r="S717" t="s">
        <v>2048</v>
      </c>
      <c r="T717" t="s">
        <v>2059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>
        <f t="shared" si="44"/>
        <v>518</v>
      </c>
      <c r="G718" s="5" t="s">
        <v>20</v>
      </c>
      <c r="H718">
        <v>157</v>
      </c>
      <c r="I718">
        <f t="shared" si="45"/>
        <v>65.94</v>
      </c>
      <c r="J718" t="s">
        <v>21</v>
      </c>
      <c r="K718" t="s">
        <v>22</v>
      </c>
      <c r="L718">
        <v>1373432400</v>
      </c>
      <c r="M718">
        <v>1375851600</v>
      </c>
      <c r="N718" s="19">
        <f t="shared" si="46"/>
        <v>41465.208333333336</v>
      </c>
      <c r="O718" s="19">
        <f t="shared" si="47"/>
        <v>41493.208333333336</v>
      </c>
      <c r="P718" t="b">
        <v>0</v>
      </c>
      <c r="Q718" t="b">
        <v>1</v>
      </c>
      <c r="R718" t="s">
        <v>33</v>
      </c>
      <c r="S718" t="s">
        <v>2037</v>
      </c>
      <c r="T718" t="s">
        <v>2038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>
        <f t="shared" si="44"/>
        <v>248</v>
      </c>
      <c r="G719" s="5" t="s">
        <v>20</v>
      </c>
      <c r="H719">
        <v>555</v>
      </c>
      <c r="I719">
        <f t="shared" si="45"/>
        <v>24.99</v>
      </c>
      <c r="J719" t="s">
        <v>21</v>
      </c>
      <c r="K719" t="s">
        <v>22</v>
      </c>
      <c r="L719">
        <v>1313989200</v>
      </c>
      <c r="M719">
        <v>1315803600</v>
      </c>
      <c r="N719" s="19">
        <f t="shared" si="46"/>
        <v>40777.208333333336</v>
      </c>
      <c r="O719" s="19">
        <f t="shared" si="47"/>
        <v>40798.208333333336</v>
      </c>
      <c r="P719" t="b">
        <v>0</v>
      </c>
      <c r="Q719" t="b">
        <v>0</v>
      </c>
      <c r="R719" t="s">
        <v>42</v>
      </c>
      <c r="S719" t="s">
        <v>2039</v>
      </c>
      <c r="T719" t="s">
        <v>2040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>
        <f t="shared" si="44"/>
        <v>100</v>
      </c>
      <c r="G720" s="5" t="s">
        <v>20</v>
      </c>
      <c r="H720">
        <v>297</v>
      </c>
      <c r="I720">
        <f t="shared" si="45"/>
        <v>28</v>
      </c>
      <c r="J720" t="s">
        <v>21</v>
      </c>
      <c r="K720" t="s">
        <v>22</v>
      </c>
      <c r="L720">
        <v>1371445200</v>
      </c>
      <c r="M720">
        <v>1373691600</v>
      </c>
      <c r="N720" s="19">
        <f t="shared" si="46"/>
        <v>41442.208333333336</v>
      </c>
      <c r="O720" s="19">
        <f t="shared" si="47"/>
        <v>41468.208333333336</v>
      </c>
      <c r="P720" t="b">
        <v>0</v>
      </c>
      <c r="Q720" t="b">
        <v>0</v>
      </c>
      <c r="R720" t="s">
        <v>65</v>
      </c>
      <c r="S720" t="s">
        <v>2035</v>
      </c>
      <c r="T720" t="s">
        <v>2044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>
        <f t="shared" si="44"/>
        <v>153</v>
      </c>
      <c r="G721" s="5" t="s">
        <v>20</v>
      </c>
      <c r="H721">
        <v>123</v>
      </c>
      <c r="I721">
        <f t="shared" si="45"/>
        <v>85.83</v>
      </c>
      <c r="J721" t="s">
        <v>21</v>
      </c>
      <c r="K721" t="s">
        <v>22</v>
      </c>
      <c r="L721">
        <v>1338267600</v>
      </c>
      <c r="M721">
        <v>1339218000</v>
      </c>
      <c r="N721" s="19">
        <f t="shared" si="46"/>
        <v>41058.208333333336</v>
      </c>
      <c r="O721" s="19">
        <f t="shared" si="47"/>
        <v>41069.208333333336</v>
      </c>
      <c r="P721" t="b">
        <v>0</v>
      </c>
      <c r="Q721" t="b">
        <v>0</v>
      </c>
      <c r="R721" t="s">
        <v>119</v>
      </c>
      <c r="S721" t="s">
        <v>2045</v>
      </c>
      <c r="T721" t="s">
        <v>2051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>
        <f t="shared" si="44"/>
        <v>37</v>
      </c>
      <c r="G722" s="7" t="s">
        <v>74</v>
      </c>
      <c r="H722">
        <v>38</v>
      </c>
      <c r="I722">
        <f t="shared" si="45"/>
        <v>84.92</v>
      </c>
      <c r="J722" t="s">
        <v>36</v>
      </c>
      <c r="K722" t="s">
        <v>37</v>
      </c>
      <c r="L722">
        <v>1519192800</v>
      </c>
      <c r="M722">
        <v>1520402400</v>
      </c>
      <c r="N722" s="19">
        <f t="shared" si="46"/>
        <v>43152.25</v>
      </c>
      <c r="O722" s="19">
        <f t="shared" si="47"/>
        <v>43166.25</v>
      </c>
      <c r="P722" t="b">
        <v>0</v>
      </c>
      <c r="Q722" t="b">
        <v>1</v>
      </c>
      <c r="R722" t="s">
        <v>33</v>
      </c>
      <c r="S722" t="s">
        <v>2037</v>
      </c>
      <c r="T722" t="s">
        <v>2038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>
        <f t="shared" si="44"/>
        <v>4</v>
      </c>
      <c r="G723" s="7" t="s">
        <v>74</v>
      </c>
      <c r="H723">
        <v>60</v>
      </c>
      <c r="I723">
        <f t="shared" si="45"/>
        <v>90.48</v>
      </c>
      <c r="J723" t="s">
        <v>21</v>
      </c>
      <c r="K723" t="s">
        <v>22</v>
      </c>
      <c r="L723">
        <v>1522818000</v>
      </c>
      <c r="M723">
        <v>1523336400</v>
      </c>
      <c r="N723" s="19">
        <f t="shared" si="46"/>
        <v>43194.208333333328</v>
      </c>
      <c r="O723" s="19">
        <f t="shared" si="47"/>
        <v>43200.208333333328</v>
      </c>
      <c r="P723" t="b">
        <v>0</v>
      </c>
      <c r="Q723" t="b">
        <v>0</v>
      </c>
      <c r="R723" t="s">
        <v>23</v>
      </c>
      <c r="S723" t="s">
        <v>2033</v>
      </c>
      <c r="T723" t="s">
        <v>2034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>
        <f t="shared" si="44"/>
        <v>157</v>
      </c>
      <c r="G724" s="5" t="s">
        <v>20</v>
      </c>
      <c r="H724">
        <v>3036</v>
      </c>
      <c r="I724">
        <f t="shared" si="45"/>
        <v>25</v>
      </c>
      <c r="J724" t="s">
        <v>21</v>
      </c>
      <c r="K724" t="s">
        <v>22</v>
      </c>
      <c r="L724">
        <v>1509948000</v>
      </c>
      <c r="M724">
        <v>1512280800</v>
      </c>
      <c r="N724" s="19">
        <f t="shared" si="46"/>
        <v>43045.25</v>
      </c>
      <c r="O724" s="19">
        <f t="shared" si="47"/>
        <v>43072.25</v>
      </c>
      <c r="P724" t="b">
        <v>0</v>
      </c>
      <c r="Q724" t="b">
        <v>0</v>
      </c>
      <c r="R724" t="s">
        <v>42</v>
      </c>
      <c r="S724" t="s">
        <v>2039</v>
      </c>
      <c r="T724" t="s">
        <v>2040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>
        <f t="shared" si="44"/>
        <v>270</v>
      </c>
      <c r="G725" s="5" t="s">
        <v>20</v>
      </c>
      <c r="H725">
        <v>144</v>
      </c>
      <c r="I725">
        <f t="shared" si="45"/>
        <v>92.01</v>
      </c>
      <c r="J725" t="s">
        <v>26</v>
      </c>
      <c r="K725" t="s">
        <v>27</v>
      </c>
      <c r="L725">
        <v>1456898400</v>
      </c>
      <c r="M725">
        <v>1458709200</v>
      </c>
      <c r="N725" s="19">
        <f t="shared" si="46"/>
        <v>42431.25</v>
      </c>
      <c r="O725" s="19">
        <f t="shared" si="47"/>
        <v>42452.208333333328</v>
      </c>
      <c r="P725" t="b">
        <v>0</v>
      </c>
      <c r="Q725" t="b">
        <v>0</v>
      </c>
      <c r="R725" t="s">
        <v>33</v>
      </c>
      <c r="S725" t="s">
        <v>2037</v>
      </c>
      <c r="T725" t="s">
        <v>2038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>
        <f t="shared" si="44"/>
        <v>134</v>
      </c>
      <c r="G726" s="5" t="s">
        <v>20</v>
      </c>
      <c r="H726">
        <v>121</v>
      </c>
      <c r="I726">
        <f t="shared" si="45"/>
        <v>93.07</v>
      </c>
      <c r="J726" t="s">
        <v>40</v>
      </c>
      <c r="K726" t="s">
        <v>41</v>
      </c>
      <c r="L726">
        <v>1413954000</v>
      </c>
      <c r="M726">
        <v>1414126800</v>
      </c>
      <c r="N726" s="19">
        <f t="shared" si="46"/>
        <v>41934.208333333336</v>
      </c>
      <c r="O726" s="19">
        <f t="shared" si="47"/>
        <v>41936.208333333336</v>
      </c>
      <c r="P726" t="b">
        <v>0</v>
      </c>
      <c r="Q726" t="b">
        <v>1</v>
      </c>
      <c r="R726" t="s">
        <v>33</v>
      </c>
      <c r="S726" t="s">
        <v>2037</v>
      </c>
      <c r="T726" t="s">
        <v>2038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>
        <f t="shared" si="44"/>
        <v>50</v>
      </c>
      <c r="G727" s="4" t="s">
        <v>14</v>
      </c>
      <c r="H727">
        <v>1596</v>
      </c>
      <c r="I727">
        <f t="shared" si="45"/>
        <v>61.01</v>
      </c>
      <c r="J727" t="s">
        <v>21</v>
      </c>
      <c r="K727" t="s">
        <v>22</v>
      </c>
      <c r="L727">
        <v>1416031200</v>
      </c>
      <c r="M727">
        <v>1416204000</v>
      </c>
      <c r="N727" s="19">
        <f t="shared" si="46"/>
        <v>41958.25</v>
      </c>
      <c r="O727" s="19">
        <f t="shared" si="47"/>
        <v>41960.25</v>
      </c>
      <c r="P727" t="b">
        <v>0</v>
      </c>
      <c r="Q727" t="b">
        <v>0</v>
      </c>
      <c r="R727" t="s">
        <v>292</v>
      </c>
      <c r="S727" t="s">
        <v>2048</v>
      </c>
      <c r="T727" t="s">
        <v>2059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>
        <f t="shared" si="44"/>
        <v>89</v>
      </c>
      <c r="G728" s="7" t="s">
        <v>74</v>
      </c>
      <c r="H728">
        <v>524</v>
      </c>
      <c r="I728">
        <f t="shared" si="45"/>
        <v>92.04</v>
      </c>
      <c r="J728" t="s">
        <v>21</v>
      </c>
      <c r="K728" t="s">
        <v>22</v>
      </c>
      <c r="L728">
        <v>1287982800</v>
      </c>
      <c r="M728">
        <v>1288501200</v>
      </c>
      <c r="N728" s="19">
        <f t="shared" si="46"/>
        <v>40476.208333333336</v>
      </c>
      <c r="O728" s="19">
        <f t="shared" si="47"/>
        <v>40482.208333333336</v>
      </c>
      <c r="P728" t="b">
        <v>0</v>
      </c>
      <c r="Q728" t="b">
        <v>1</v>
      </c>
      <c r="R728" t="s">
        <v>33</v>
      </c>
      <c r="S728" t="s">
        <v>2037</v>
      </c>
      <c r="T728" t="s">
        <v>2038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>
        <f t="shared" si="44"/>
        <v>165</v>
      </c>
      <c r="G729" s="5" t="s">
        <v>20</v>
      </c>
      <c r="H729">
        <v>181</v>
      </c>
      <c r="I729">
        <f t="shared" si="45"/>
        <v>81.13</v>
      </c>
      <c r="J729" t="s">
        <v>21</v>
      </c>
      <c r="K729" t="s">
        <v>22</v>
      </c>
      <c r="L729">
        <v>1547964000</v>
      </c>
      <c r="M729">
        <v>1552971600</v>
      </c>
      <c r="N729" s="19">
        <f t="shared" si="46"/>
        <v>43485.25</v>
      </c>
      <c r="O729" s="19">
        <f t="shared" si="47"/>
        <v>43543.208333333328</v>
      </c>
      <c r="P729" t="b">
        <v>0</v>
      </c>
      <c r="Q729" t="b">
        <v>0</v>
      </c>
      <c r="R729" t="s">
        <v>28</v>
      </c>
      <c r="S729" t="s">
        <v>2035</v>
      </c>
      <c r="T729" t="s">
        <v>2036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>
        <f t="shared" si="44"/>
        <v>18</v>
      </c>
      <c r="G730" s="4" t="s">
        <v>14</v>
      </c>
      <c r="H730">
        <v>10</v>
      </c>
      <c r="I730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s="19">
        <f t="shared" si="46"/>
        <v>42515.208333333328</v>
      </c>
      <c r="O730" s="19">
        <f t="shared" si="47"/>
        <v>42526.208333333328</v>
      </c>
      <c r="P730" t="b">
        <v>0</v>
      </c>
      <c r="Q730" t="b">
        <v>0</v>
      </c>
      <c r="R730" t="s">
        <v>33</v>
      </c>
      <c r="S730" t="s">
        <v>2037</v>
      </c>
      <c r="T730" t="s">
        <v>2038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>
        <f t="shared" si="44"/>
        <v>186</v>
      </c>
      <c r="G731" s="5" t="s">
        <v>20</v>
      </c>
      <c r="H731">
        <v>122</v>
      </c>
      <c r="I731">
        <f t="shared" si="45"/>
        <v>85.22</v>
      </c>
      <c r="J731" t="s">
        <v>21</v>
      </c>
      <c r="K731" t="s">
        <v>22</v>
      </c>
      <c r="L731">
        <v>1359957600</v>
      </c>
      <c r="M731">
        <v>1360130400</v>
      </c>
      <c r="N731" s="19">
        <f t="shared" si="46"/>
        <v>41309.25</v>
      </c>
      <c r="O731" s="19">
        <f t="shared" si="47"/>
        <v>41311.25</v>
      </c>
      <c r="P731" t="b">
        <v>0</v>
      </c>
      <c r="Q731" t="b">
        <v>0</v>
      </c>
      <c r="R731" t="s">
        <v>53</v>
      </c>
      <c r="S731" t="s">
        <v>2039</v>
      </c>
      <c r="T731" t="s">
        <v>2042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>
        <f t="shared" si="44"/>
        <v>413</v>
      </c>
      <c r="G732" s="5" t="s">
        <v>20</v>
      </c>
      <c r="H732">
        <v>1071</v>
      </c>
      <c r="I732">
        <f t="shared" si="45"/>
        <v>110.97</v>
      </c>
      <c r="J732" t="s">
        <v>15</v>
      </c>
      <c r="K732" t="s">
        <v>16</v>
      </c>
      <c r="L732">
        <v>1432357200</v>
      </c>
      <c r="M732">
        <v>1432875600</v>
      </c>
      <c r="N732" s="19">
        <f t="shared" si="46"/>
        <v>42147.208333333328</v>
      </c>
      <c r="O732" s="19">
        <f t="shared" si="47"/>
        <v>42153.208333333328</v>
      </c>
      <c r="P732" t="b">
        <v>0</v>
      </c>
      <c r="Q732" t="b">
        <v>0</v>
      </c>
      <c r="R732" t="s">
        <v>65</v>
      </c>
      <c r="S732" t="s">
        <v>2035</v>
      </c>
      <c r="T732" t="s">
        <v>2044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>
        <f t="shared" si="44"/>
        <v>90</v>
      </c>
      <c r="G733" s="7" t="s">
        <v>74</v>
      </c>
      <c r="H733">
        <v>219</v>
      </c>
      <c r="I733">
        <f t="shared" si="45"/>
        <v>32.97</v>
      </c>
      <c r="J733" t="s">
        <v>21</v>
      </c>
      <c r="K733" t="s">
        <v>22</v>
      </c>
      <c r="L733">
        <v>1500786000</v>
      </c>
      <c r="M733">
        <v>1500872400</v>
      </c>
      <c r="N733" s="19">
        <f t="shared" si="46"/>
        <v>42939.208333333328</v>
      </c>
      <c r="O733" s="19">
        <f t="shared" si="47"/>
        <v>42940.208333333328</v>
      </c>
      <c r="P733" t="b">
        <v>0</v>
      </c>
      <c r="Q733" t="b">
        <v>0</v>
      </c>
      <c r="R733" t="s">
        <v>28</v>
      </c>
      <c r="S733" t="s">
        <v>2035</v>
      </c>
      <c r="T733" t="s">
        <v>2036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>
        <f t="shared" si="44"/>
        <v>92</v>
      </c>
      <c r="G734" s="4" t="s">
        <v>14</v>
      </c>
      <c r="H734">
        <v>1121</v>
      </c>
      <c r="I734">
        <f t="shared" si="45"/>
        <v>96.01</v>
      </c>
      <c r="J734" t="s">
        <v>21</v>
      </c>
      <c r="K734" t="s">
        <v>22</v>
      </c>
      <c r="L734">
        <v>1490158800</v>
      </c>
      <c r="M734">
        <v>1492146000</v>
      </c>
      <c r="N734" s="19">
        <f t="shared" si="46"/>
        <v>42816.208333333328</v>
      </c>
      <c r="O734" s="19">
        <f t="shared" si="47"/>
        <v>42839.208333333328</v>
      </c>
      <c r="P734" t="b">
        <v>0</v>
      </c>
      <c r="Q734" t="b">
        <v>1</v>
      </c>
      <c r="R734" t="s">
        <v>23</v>
      </c>
      <c r="S734" t="s">
        <v>2033</v>
      </c>
      <c r="T734" t="s">
        <v>2034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>
        <f t="shared" si="44"/>
        <v>527</v>
      </c>
      <c r="G735" s="5" t="s">
        <v>20</v>
      </c>
      <c r="H735">
        <v>980</v>
      </c>
      <c r="I735">
        <f t="shared" si="45"/>
        <v>84.97</v>
      </c>
      <c r="J735" t="s">
        <v>21</v>
      </c>
      <c r="K735" t="s">
        <v>22</v>
      </c>
      <c r="L735">
        <v>1406178000</v>
      </c>
      <c r="M735">
        <v>1407301200</v>
      </c>
      <c r="N735" s="19">
        <f t="shared" si="46"/>
        <v>41844.208333333336</v>
      </c>
      <c r="O735" s="19">
        <f t="shared" si="47"/>
        <v>41857.208333333336</v>
      </c>
      <c r="P735" t="b">
        <v>0</v>
      </c>
      <c r="Q735" t="b">
        <v>0</v>
      </c>
      <c r="R735" t="s">
        <v>148</v>
      </c>
      <c r="S735" t="s">
        <v>2033</v>
      </c>
      <c r="T735" t="s">
        <v>2055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>
        <f t="shared" si="44"/>
        <v>319</v>
      </c>
      <c r="G736" s="5" t="s">
        <v>20</v>
      </c>
      <c r="H736">
        <v>536</v>
      </c>
      <c r="I736">
        <f t="shared" si="45"/>
        <v>25.01</v>
      </c>
      <c r="J736" t="s">
        <v>21</v>
      </c>
      <c r="K736" t="s">
        <v>22</v>
      </c>
      <c r="L736">
        <v>1485583200</v>
      </c>
      <c r="M736">
        <v>1486620000</v>
      </c>
      <c r="N736" s="19">
        <f t="shared" si="46"/>
        <v>42763.25</v>
      </c>
      <c r="O736" s="19">
        <f t="shared" si="47"/>
        <v>42775.25</v>
      </c>
      <c r="P736" t="b">
        <v>0</v>
      </c>
      <c r="Q736" t="b">
        <v>1</v>
      </c>
      <c r="R736" t="s">
        <v>33</v>
      </c>
      <c r="S736" t="s">
        <v>2037</v>
      </c>
      <c r="T736" t="s">
        <v>2038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>
        <f t="shared" si="44"/>
        <v>354</v>
      </c>
      <c r="G737" s="5" t="s">
        <v>20</v>
      </c>
      <c r="H737">
        <v>1991</v>
      </c>
      <c r="I737">
        <f t="shared" si="45"/>
        <v>66</v>
      </c>
      <c r="J737" t="s">
        <v>21</v>
      </c>
      <c r="K737" t="s">
        <v>22</v>
      </c>
      <c r="L737">
        <v>1459314000</v>
      </c>
      <c r="M737">
        <v>1459918800</v>
      </c>
      <c r="N737" s="19">
        <f t="shared" si="46"/>
        <v>42459.208333333328</v>
      </c>
      <c r="O737" s="19">
        <f t="shared" si="47"/>
        <v>42466.208333333328</v>
      </c>
      <c r="P737" t="b">
        <v>0</v>
      </c>
      <c r="Q737" t="b">
        <v>0</v>
      </c>
      <c r="R737" t="s">
        <v>122</v>
      </c>
      <c r="S737" t="s">
        <v>2052</v>
      </c>
      <c r="T737" t="s">
        <v>2053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>
        <f t="shared" si="44"/>
        <v>33</v>
      </c>
      <c r="G738" s="7" t="s">
        <v>74</v>
      </c>
      <c r="H738">
        <v>29</v>
      </c>
      <c r="I738">
        <f t="shared" si="45"/>
        <v>87.34</v>
      </c>
      <c r="J738" t="s">
        <v>21</v>
      </c>
      <c r="K738" t="s">
        <v>22</v>
      </c>
      <c r="L738">
        <v>1424412000</v>
      </c>
      <c r="M738">
        <v>1424757600</v>
      </c>
      <c r="N738" s="19">
        <f t="shared" si="46"/>
        <v>42055.25</v>
      </c>
      <c r="O738" s="19">
        <f t="shared" si="47"/>
        <v>42059.25</v>
      </c>
      <c r="P738" t="b">
        <v>0</v>
      </c>
      <c r="Q738" t="b">
        <v>0</v>
      </c>
      <c r="R738" t="s">
        <v>68</v>
      </c>
      <c r="S738" t="s">
        <v>2045</v>
      </c>
      <c r="T738" t="s">
        <v>2046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>
        <f t="shared" si="44"/>
        <v>136</v>
      </c>
      <c r="G739" s="5" t="s">
        <v>20</v>
      </c>
      <c r="H739">
        <v>180</v>
      </c>
      <c r="I739">
        <f t="shared" si="45"/>
        <v>27.93</v>
      </c>
      <c r="J739" t="s">
        <v>21</v>
      </c>
      <c r="K739" t="s">
        <v>22</v>
      </c>
      <c r="L739">
        <v>1478844000</v>
      </c>
      <c r="M739">
        <v>1479880800</v>
      </c>
      <c r="N739" s="19">
        <f t="shared" si="46"/>
        <v>42685.25</v>
      </c>
      <c r="O739" s="19">
        <f t="shared" si="47"/>
        <v>42697.25</v>
      </c>
      <c r="P739" t="b">
        <v>0</v>
      </c>
      <c r="Q739" t="b">
        <v>0</v>
      </c>
      <c r="R739" t="s">
        <v>60</v>
      </c>
      <c r="S739" t="s">
        <v>2033</v>
      </c>
      <c r="T739" t="s">
        <v>2043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>
        <f t="shared" si="44"/>
        <v>2</v>
      </c>
      <c r="G740" s="4" t="s">
        <v>14</v>
      </c>
      <c r="H740">
        <v>15</v>
      </c>
      <c r="I740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s="19">
        <f t="shared" si="46"/>
        <v>41959.25</v>
      </c>
      <c r="O740" s="19">
        <f t="shared" si="47"/>
        <v>41981.25</v>
      </c>
      <c r="P740" t="b">
        <v>0</v>
      </c>
      <c r="Q740" t="b">
        <v>1</v>
      </c>
      <c r="R740" t="s">
        <v>33</v>
      </c>
      <c r="S740" t="s">
        <v>2037</v>
      </c>
      <c r="T740" t="s">
        <v>2038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>
        <f t="shared" si="44"/>
        <v>61</v>
      </c>
      <c r="G741" s="4" t="s">
        <v>14</v>
      </c>
      <c r="H741">
        <v>191</v>
      </c>
      <c r="I741">
        <f t="shared" si="45"/>
        <v>31.94</v>
      </c>
      <c r="J741" t="s">
        <v>21</v>
      </c>
      <c r="K741" t="s">
        <v>22</v>
      </c>
      <c r="L741">
        <v>1340946000</v>
      </c>
      <c r="M741">
        <v>1341032400</v>
      </c>
      <c r="N741" s="19">
        <f t="shared" si="46"/>
        <v>41089.208333333336</v>
      </c>
      <c r="O741" s="19">
        <f t="shared" si="47"/>
        <v>41090.208333333336</v>
      </c>
      <c r="P741" t="b">
        <v>0</v>
      </c>
      <c r="Q741" t="b">
        <v>0</v>
      </c>
      <c r="R741" t="s">
        <v>60</v>
      </c>
      <c r="S741" t="s">
        <v>2033</v>
      </c>
      <c r="T741" t="s">
        <v>2043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>
        <f t="shared" si="44"/>
        <v>30</v>
      </c>
      <c r="G742" s="4" t="s">
        <v>14</v>
      </c>
      <c r="H742">
        <v>16</v>
      </c>
      <c r="I742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s="19">
        <f t="shared" si="46"/>
        <v>42769.25</v>
      </c>
      <c r="O742" s="19">
        <f t="shared" si="47"/>
        <v>42772.25</v>
      </c>
      <c r="P742" t="b">
        <v>0</v>
      </c>
      <c r="Q742" t="b">
        <v>0</v>
      </c>
      <c r="R742" t="s">
        <v>33</v>
      </c>
      <c r="S742" t="s">
        <v>2037</v>
      </c>
      <c r="T742" t="s">
        <v>2038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>
        <f t="shared" si="44"/>
        <v>1179</v>
      </c>
      <c r="G743" s="5" t="s">
        <v>20</v>
      </c>
      <c r="H743">
        <v>130</v>
      </c>
      <c r="I743">
        <f t="shared" si="45"/>
        <v>108.85</v>
      </c>
      <c r="J743" t="s">
        <v>21</v>
      </c>
      <c r="K743" t="s">
        <v>22</v>
      </c>
      <c r="L743">
        <v>1274590800</v>
      </c>
      <c r="M743">
        <v>1274677200</v>
      </c>
      <c r="N743" s="19">
        <f t="shared" si="46"/>
        <v>40321.208333333336</v>
      </c>
      <c r="O743" s="19">
        <f t="shared" si="47"/>
        <v>40322.208333333336</v>
      </c>
      <c r="P743" t="b">
        <v>0</v>
      </c>
      <c r="Q743" t="b">
        <v>0</v>
      </c>
      <c r="R743" t="s">
        <v>33</v>
      </c>
      <c r="S743" t="s">
        <v>2037</v>
      </c>
      <c r="T743" t="s">
        <v>2038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>
        <f t="shared" si="44"/>
        <v>1126</v>
      </c>
      <c r="G744" s="5" t="s">
        <v>20</v>
      </c>
      <c r="H744">
        <v>122</v>
      </c>
      <c r="I744">
        <f t="shared" si="45"/>
        <v>110.76</v>
      </c>
      <c r="J744" t="s">
        <v>21</v>
      </c>
      <c r="K744" t="s">
        <v>22</v>
      </c>
      <c r="L744">
        <v>1263880800</v>
      </c>
      <c r="M744">
        <v>1267509600</v>
      </c>
      <c r="N744" s="19">
        <f t="shared" si="46"/>
        <v>40197.25</v>
      </c>
      <c r="O744" s="19">
        <f t="shared" si="47"/>
        <v>40239.25</v>
      </c>
      <c r="P744" t="b">
        <v>0</v>
      </c>
      <c r="Q744" t="b">
        <v>0</v>
      </c>
      <c r="R744" t="s">
        <v>50</v>
      </c>
      <c r="S744" t="s">
        <v>2033</v>
      </c>
      <c r="T744" t="s">
        <v>2041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>
        <f t="shared" si="44"/>
        <v>13</v>
      </c>
      <c r="G745" s="4" t="s">
        <v>14</v>
      </c>
      <c r="H745">
        <v>17</v>
      </c>
      <c r="I745">
        <f t="shared" si="45"/>
        <v>29.65</v>
      </c>
      <c r="J745" t="s">
        <v>21</v>
      </c>
      <c r="K745" t="s">
        <v>22</v>
      </c>
      <c r="L745">
        <v>1445403600</v>
      </c>
      <c r="M745">
        <v>1445922000</v>
      </c>
      <c r="N745" s="19">
        <f t="shared" si="46"/>
        <v>42298.208333333328</v>
      </c>
      <c r="O745" s="19">
        <f t="shared" si="47"/>
        <v>42304.208333333328</v>
      </c>
      <c r="P745" t="b">
        <v>0</v>
      </c>
      <c r="Q745" t="b">
        <v>1</v>
      </c>
      <c r="R745" t="s">
        <v>33</v>
      </c>
      <c r="S745" t="s">
        <v>2037</v>
      </c>
      <c r="T745" t="s">
        <v>2038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>
        <f t="shared" si="44"/>
        <v>712</v>
      </c>
      <c r="G746" s="5" t="s">
        <v>20</v>
      </c>
      <c r="H746">
        <v>140</v>
      </c>
      <c r="I746">
        <f t="shared" si="45"/>
        <v>101.71</v>
      </c>
      <c r="J746" t="s">
        <v>21</v>
      </c>
      <c r="K746" t="s">
        <v>22</v>
      </c>
      <c r="L746">
        <v>1533877200</v>
      </c>
      <c r="M746">
        <v>1534050000</v>
      </c>
      <c r="N746" s="19">
        <f t="shared" si="46"/>
        <v>43322.208333333328</v>
      </c>
      <c r="O746" s="19">
        <f t="shared" si="47"/>
        <v>43324.208333333328</v>
      </c>
      <c r="P746" t="b">
        <v>0</v>
      </c>
      <c r="Q746" t="b">
        <v>1</v>
      </c>
      <c r="R746" t="s">
        <v>33</v>
      </c>
      <c r="S746" t="s">
        <v>2037</v>
      </c>
      <c r="T746" t="s">
        <v>2038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>
        <f t="shared" si="44"/>
        <v>30</v>
      </c>
      <c r="G747" s="4" t="s">
        <v>14</v>
      </c>
      <c r="H747">
        <v>34</v>
      </c>
      <c r="I747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s="19">
        <f t="shared" si="46"/>
        <v>40328.208333333336</v>
      </c>
      <c r="O747" s="19">
        <f t="shared" si="47"/>
        <v>40355.208333333336</v>
      </c>
      <c r="P747" t="b">
        <v>0</v>
      </c>
      <c r="Q747" t="b">
        <v>0</v>
      </c>
      <c r="R747" t="s">
        <v>65</v>
      </c>
      <c r="S747" t="s">
        <v>2035</v>
      </c>
      <c r="T747" t="s">
        <v>2044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>
        <f t="shared" si="44"/>
        <v>213</v>
      </c>
      <c r="G748" s="5" t="s">
        <v>20</v>
      </c>
      <c r="H748">
        <v>3388</v>
      </c>
      <c r="I748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s="19">
        <f t="shared" si="46"/>
        <v>40825.208333333336</v>
      </c>
      <c r="O748" s="19">
        <f t="shared" si="47"/>
        <v>40830.208333333336</v>
      </c>
      <c r="P748" t="b">
        <v>0</v>
      </c>
      <c r="Q748" t="b">
        <v>0</v>
      </c>
      <c r="R748" t="s">
        <v>28</v>
      </c>
      <c r="S748" t="s">
        <v>2035</v>
      </c>
      <c r="T748" t="s">
        <v>2036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>
        <f t="shared" si="44"/>
        <v>229</v>
      </c>
      <c r="G749" s="5" t="s">
        <v>20</v>
      </c>
      <c r="H749">
        <v>280</v>
      </c>
      <c r="I749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9">
        <f t="shared" si="46"/>
        <v>40423.208333333336</v>
      </c>
      <c r="O749" s="19">
        <f t="shared" si="47"/>
        <v>40434.208333333336</v>
      </c>
      <c r="P749" t="b">
        <v>0</v>
      </c>
      <c r="Q749" t="b">
        <v>0</v>
      </c>
      <c r="R749" t="s">
        <v>33</v>
      </c>
      <c r="S749" t="s">
        <v>2037</v>
      </c>
      <c r="T749" t="s">
        <v>2038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>
        <f t="shared" si="44"/>
        <v>35</v>
      </c>
      <c r="G750" s="7" t="s">
        <v>74</v>
      </c>
      <c r="H750">
        <v>614</v>
      </c>
      <c r="I750">
        <f t="shared" si="45"/>
        <v>110.97</v>
      </c>
      <c r="J750" t="s">
        <v>21</v>
      </c>
      <c r="K750" t="s">
        <v>22</v>
      </c>
      <c r="L750">
        <v>1267423200</v>
      </c>
      <c r="M750">
        <v>1269579600</v>
      </c>
      <c r="N750" s="19">
        <f t="shared" si="46"/>
        <v>40238.25</v>
      </c>
      <c r="O750" s="19">
        <f t="shared" si="47"/>
        <v>40263.208333333336</v>
      </c>
      <c r="P750" t="b">
        <v>0</v>
      </c>
      <c r="Q750" t="b">
        <v>1</v>
      </c>
      <c r="R750" t="s">
        <v>71</v>
      </c>
      <c r="S750" t="s">
        <v>2039</v>
      </c>
      <c r="T750" t="s">
        <v>2047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>
        <f t="shared" si="44"/>
        <v>157</v>
      </c>
      <c r="G751" s="5" t="s">
        <v>20</v>
      </c>
      <c r="H751">
        <v>366</v>
      </c>
      <c r="I751">
        <f t="shared" si="45"/>
        <v>36.96</v>
      </c>
      <c r="J751" t="s">
        <v>107</v>
      </c>
      <c r="K751" t="s">
        <v>108</v>
      </c>
      <c r="L751">
        <v>1412744400</v>
      </c>
      <c r="M751">
        <v>1413781200</v>
      </c>
      <c r="N751" s="19">
        <f t="shared" si="46"/>
        <v>41920.208333333336</v>
      </c>
      <c r="O751" s="19">
        <f t="shared" si="47"/>
        <v>41932.208333333336</v>
      </c>
      <c r="P751" t="b">
        <v>0</v>
      </c>
      <c r="Q751" t="b">
        <v>1</v>
      </c>
      <c r="R751" t="s">
        <v>65</v>
      </c>
      <c r="S751" t="s">
        <v>2035</v>
      </c>
      <c r="T751" t="s">
        <v>2044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>
        <f t="shared" si="44"/>
        <v>1</v>
      </c>
      <c r="G752" s="4" t="s">
        <v>14</v>
      </c>
      <c r="H752">
        <v>1</v>
      </c>
      <c r="I752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s="19">
        <f t="shared" si="46"/>
        <v>40360.208333333336</v>
      </c>
      <c r="O752" s="19">
        <f t="shared" si="47"/>
        <v>40385.208333333336</v>
      </c>
      <c r="P752" t="b">
        <v>0</v>
      </c>
      <c r="Q752" t="b">
        <v>0</v>
      </c>
      <c r="R752" t="s">
        <v>50</v>
      </c>
      <c r="S752" t="s">
        <v>2033</v>
      </c>
      <c r="T752" t="s">
        <v>2041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>
        <f t="shared" si="44"/>
        <v>232</v>
      </c>
      <c r="G753" s="5" t="s">
        <v>20</v>
      </c>
      <c r="H753">
        <v>270</v>
      </c>
      <c r="I753">
        <f t="shared" si="45"/>
        <v>30.97</v>
      </c>
      <c r="J753" t="s">
        <v>21</v>
      </c>
      <c r="K753" t="s">
        <v>22</v>
      </c>
      <c r="L753">
        <v>1458190800</v>
      </c>
      <c r="M753">
        <v>1459486800</v>
      </c>
      <c r="N753" s="19">
        <f t="shared" si="46"/>
        <v>42446.208333333328</v>
      </c>
      <c r="O753" s="19">
        <f t="shared" si="47"/>
        <v>42461.208333333328</v>
      </c>
      <c r="P753" t="b">
        <v>1</v>
      </c>
      <c r="Q753" t="b">
        <v>1</v>
      </c>
      <c r="R753" t="s">
        <v>68</v>
      </c>
      <c r="S753" t="s">
        <v>2045</v>
      </c>
      <c r="T753" t="s">
        <v>2046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>
        <f t="shared" si="44"/>
        <v>92</v>
      </c>
      <c r="G754" s="7" t="s">
        <v>74</v>
      </c>
      <c r="H754">
        <v>114</v>
      </c>
      <c r="I754">
        <f t="shared" si="45"/>
        <v>47.04</v>
      </c>
      <c r="J754" t="s">
        <v>21</v>
      </c>
      <c r="K754" t="s">
        <v>22</v>
      </c>
      <c r="L754">
        <v>1280984400</v>
      </c>
      <c r="M754">
        <v>1282539600</v>
      </c>
      <c r="N754" s="19">
        <f t="shared" si="46"/>
        <v>40395.208333333336</v>
      </c>
      <c r="O754" s="19">
        <f t="shared" si="47"/>
        <v>40413.208333333336</v>
      </c>
      <c r="P754" t="b">
        <v>0</v>
      </c>
      <c r="Q754" t="b">
        <v>1</v>
      </c>
      <c r="R754" t="s">
        <v>33</v>
      </c>
      <c r="S754" t="s">
        <v>2037</v>
      </c>
      <c r="T754" t="s">
        <v>2038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>
        <f t="shared" si="44"/>
        <v>257</v>
      </c>
      <c r="G755" s="5" t="s">
        <v>20</v>
      </c>
      <c r="H755">
        <v>137</v>
      </c>
      <c r="I755">
        <f t="shared" si="45"/>
        <v>88.07</v>
      </c>
      <c r="J755" t="s">
        <v>21</v>
      </c>
      <c r="K755" t="s">
        <v>22</v>
      </c>
      <c r="L755">
        <v>1274590800</v>
      </c>
      <c r="M755">
        <v>1275886800</v>
      </c>
      <c r="N755" s="19">
        <f t="shared" si="46"/>
        <v>40321.208333333336</v>
      </c>
      <c r="O755" s="19">
        <f t="shared" si="47"/>
        <v>40336.208333333336</v>
      </c>
      <c r="P755" t="b">
        <v>0</v>
      </c>
      <c r="Q755" t="b">
        <v>0</v>
      </c>
      <c r="R755" t="s">
        <v>122</v>
      </c>
      <c r="S755" t="s">
        <v>2052</v>
      </c>
      <c r="T755" t="s">
        <v>2053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>
        <f t="shared" si="44"/>
        <v>168</v>
      </c>
      <c r="G756" s="5" t="s">
        <v>20</v>
      </c>
      <c r="H756">
        <v>3205</v>
      </c>
      <c r="I756">
        <f t="shared" si="45"/>
        <v>37.01</v>
      </c>
      <c r="J756" t="s">
        <v>21</v>
      </c>
      <c r="K756" t="s">
        <v>22</v>
      </c>
      <c r="L756">
        <v>1351400400</v>
      </c>
      <c r="M756">
        <v>1355983200</v>
      </c>
      <c r="N756" s="19">
        <f t="shared" si="46"/>
        <v>41210.208333333336</v>
      </c>
      <c r="O756" s="19">
        <f t="shared" si="47"/>
        <v>41263.25</v>
      </c>
      <c r="P756" t="b">
        <v>0</v>
      </c>
      <c r="Q756" t="b">
        <v>0</v>
      </c>
      <c r="R756" t="s">
        <v>33</v>
      </c>
      <c r="S756" t="s">
        <v>2037</v>
      </c>
      <c r="T756" t="s">
        <v>2038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>
        <f t="shared" si="44"/>
        <v>167</v>
      </c>
      <c r="G757" s="5" t="s">
        <v>20</v>
      </c>
      <c r="H757">
        <v>288</v>
      </c>
      <c r="I757">
        <f t="shared" si="45"/>
        <v>26.03</v>
      </c>
      <c r="J757" t="s">
        <v>36</v>
      </c>
      <c r="K757" t="s">
        <v>37</v>
      </c>
      <c r="L757">
        <v>1514354400</v>
      </c>
      <c r="M757">
        <v>1515391200</v>
      </c>
      <c r="N757" s="19">
        <f t="shared" si="46"/>
        <v>43096.25</v>
      </c>
      <c r="O757" s="19">
        <f t="shared" si="47"/>
        <v>43108.25</v>
      </c>
      <c r="P757" t="b">
        <v>0</v>
      </c>
      <c r="Q757" t="b">
        <v>1</v>
      </c>
      <c r="R757" t="s">
        <v>33</v>
      </c>
      <c r="S757" t="s">
        <v>2037</v>
      </c>
      <c r="T757" t="s">
        <v>2038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>
        <f t="shared" si="44"/>
        <v>772</v>
      </c>
      <c r="G758" s="5" t="s">
        <v>20</v>
      </c>
      <c r="H758">
        <v>148</v>
      </c>
      <c r="I758">
        <f t="shared" si="45"/>
        <v>67.819999999999993</v>
      </c>
      <c r="J758" t="s">
        <v>21</v>
      </c>
      <c r="K758" t="s">
        <v>22</v>
      </c>
      <c r="L758">
        <v>1421733600</v>
      </c>
      <c r="M758">
        <v>1422252000</v>
      </c>
      <c r="N758" s="19">
        <f t="shared" si="46"/>
        <v>42024.25</v>
      </c>
      <c r="O758" s="19">
        <f t="shared" si="47"/>
        <v>42030.25</v>
      </c>
      <c r="P758" t="b">
        <v>0</v>
      </c>
      <c r="Q758" t="b">
        <v>0</v>
      </c>
      <c r="R758" t="s">
        <v>33</v>
      </c>
      <c r="S758" t="s">
        <v>2037</v>
      </c>
      <c r="T758" t="s">
        <v>2038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>
        <f t="shared" si="44"/>
        <v>407</v>
      </c>
      <c r="G759" s="5" t="s">
        <v>20</v>
      </c>
      <c r="H759">
        <v>114</v>
      </c>
      <c r="I759">
        <f t="shared" si="45"/>
        <v>49.96</v>
      </c>
      <c r="J759" t="s">
        <v>21</v>
      </c>
      <c r="K759" t="s">
        <v>22</v>
      </c>
      <c r="L759">
        <v>1305176400</v>
      </c>
      <c r="M759">
        <v>1305522000</v>
      </c>
      <c r="N759" s="19">
        <f t="shared" si="46"/>
        <v>40675.208333333336</v>
      </c>
      <c r="O759" s="19">
        <f t="shared" si="47"/>
        <v>40679.208333333336</v>
      </c>
      <c r="P759" t="b">
        <v>0</v>
      </c>
      <c r="Q759" t="b">
        <v>0</v>
      </c>
      <c r="R759" t="s">
        <v>53</v>
      </c>
      <c r="S759" t="s">
        <v>2039</v>
      </c>
      <c r="T759" t="s">
        <v>2042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>
        <f t="shared" si="44"/>
        <v>564</v>
      </c>
      <c r="G760" s="5" t="s">
        <v>20</v>
      </c>
      <c r="H760">
        <v>1518</v>
      </c>
      <c r="I760">
        <f t="shared" si="45"/>
        <v>110.02</v>
      </c>
      <c r="J760" t="s">
        <v>15</v>
      </c>
      <c r="K760" t="s">
        <v>16</v>
      </c>
      <c r="L760">
        <v>1414126800</v>
      </c>
      <c r="M760">
        <v>1414904400</v>
      </c>
      <c r="N760" s="19">
        <f t="shared" si="46"/>
        <v>41936.208333333336</v>
      </c>
      <c r="O760" s="19">
        <f t="shared" si="47"/>
        <v>41945.208333333336</v>
      </c>
      <c r="P760" t="b">
        <v>0</v>
      </c>
      <c r="Q760" t="b">
        <v>0</v>
      </c>
      <c r="R760" t="s">
        <v>23</v>
      </c>
      <c r="S760" t="s">
        <v>2033</v>
      </c>
      <c r="T760" t="s">
        <v>2034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>
        <f t="shared" si="44"/>
        <v>68</v>
      </c>
      <c r="G761" s="4" t="s">
        <v>14</v>
      </c>
      <c r="H761">
        <v>1274</v>
      </c>
      <c r="I761">
        <f t="shared" si="45"/>
        <v>89.96</v>
      </c>
      <c r="J761" t="s">
        <v>21</v>
      </c>
      <c r="K761" t="s">
        <v>22</v>
      </c>
      <c r="L761">
        <v>1517810400</v>
      </c>
      <c r="M761">
        <v>1520402400</v>
      </c>
      <c r="N761" s="19">
        <f t="shared" si="46"/>
        <v>43136.25</v>
      </c>
      <c r="O761" s="19">
        <f t="shared" si="47"/>
        <v>43166.25</v>
      </c>
      <c r="P761" t="b">
        <v>0</v>
      </c>
      <c r="Q761" t="b">
        <v>0</v>
      </c>
      <c r="R761" t="s">
        <v>50</v>
      </c>
      <c r="S761" t="s">
        <v>2033</v>
      </c>
      <c r="T761" t="s">
        <v>2041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>
        <f t="shared" si="44"/>
        <v>34</v>
      </c>
      <c r="G762" s="4" t="s">
        <v>14</v>
      </c>
      <c r="H762">
        <v>210</v>
      </c>
      <c r="I762">
        <f t="shared" si="45"/>
        <v>79.010000000000005</v>
      </c>
      <c r="J762" t="s">
        <v>107</v>
      </c>
      <c r="K762" t="s">
        <v>108</v>
      </c>
      <c r="L762">
        <v>1564635600</v>
      </c>
      <c r="M762">
        <v>1567141200</v>
      </c>
      <c r="N762" s="19">
        <f t="shared" si="46"/>
        <v>43678.208333333328</v>
      </c>
      <c r="O762" s="19">
        <f t="shared" si="47"/>
        <v>43707.208333333328</v>
      </c>
      <c r="P762" t="b">
        <v>0</v>
      </c>
      <c r="Q762" t="b">
        <v>1</v>
      </c>
      <c r="R762" t="s">
        <v>89</v>
      </c>
      <c r="S762" t="s">
        <v>2048</v>
      </c>
      <c r="T762" t="s">
        <v>2049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>
        <f t="shared" si="44"/>
        <v>655</v>
      </c>
      <c r="G763" s="5" t="s">
        <v>20</v>
      </c>
      <c r="H763">
        <v>166</v>
      </c>
      <c r="I763">
        <f t="shared" si="45"/>
        <v>86.87</v>
      </c>
      <c r="J763" t="s">
        <v>21</v>
      </c>
      <c r="K763" t="s">
        <v>22</v>
      </c>
      <c r="L763">
        <v>1500699600</v>
      </c>
      <c r="M763">
        <v>1501131600</v>
      </c>
      <c r="N763" s="19">
        <f t="shared" si="46"/>
        <v>42938.208333333328</v>
      </c>
      <c r="O763" s="19">
        <f t="shared" si="47"/>
        <v>42943.208333333328</v>
      </c>
      <c r="P763" t="b">
        <v>0</v>
      </c>
      <c r="Q763" t="b">
        <v>0</v>
      </c>
      <c r="R763" t="s">
        <v>23</v>
      </c>
      <c r="S763" t="s">
        <v>2033</v>
      </c>
      <c r="T763" t="s">
        <v>2034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>
        <f t="shared" si="44"/>
        <v>177</v>
      </c>
      <c r="G764" s="5" t="s">
        <v>20</v>
      </c>
      <c r="H764">
        <v>100</v>
      </c>
      <c r="I764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s="19">
        <f t="shared" si="46"/>
        <v>41241.25</v>
      </c>
      <c r="O764" s="19">
        <f t="shared" si="47"/>
        <v>41252.25</v>
      </c>
      <c r="P764" t="b">
        <v>0</v>
      </c>
      <c r="Q764" t="b">
        <v>0</v>
      </c>
      <c r="R764" t="s">
        <v>159</v>
      </c>
      <c r="S764" t="s">
        <v>2033</v>
      </c>
      <c r="T764" t="s">
        <v>2056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>
        <f t="shared" si="44"/>
        <v>113</v>
      </c>
      <c r="G765" s="5" t="s">
        <v>20</v>
      </c>
      <c r="H765">
        <v>235</v>
      </c>
      <c r="I765">
        <f t="shared" si="45"/>
        <v>26.97</v>
      </c>
      <c r="J765" t="s">
        <v>21</v>
      </c>
      <c r="K765" t="s">
        <v>22</v>
      </c>
      <c r="L765">
        <v>1336453200</v>
      </c>
      <c r="M765">
        <v>1339477200</v>
      </c>
      <c r="N765" s="19">
        <f t="shared" si="46"/>
        <v>41037.208333333336</v>
      </c>
      <c r="O765" s="19">
        <f t="shared" si="47"/>
        <v>41072.208333333336</v>
      </c>
      <c r="P765" t="b">
        <v>0</v>
      </c>
      <c r="Q765" t="b">
        <v>1</v>
      </c>
      <c r="R765" t="s">
        <v>33</v>
      </c>
      <c r="S765" t="s">
        <v>2037</v>
      </c>
      <c r="T765" t="s">
        <v>2038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>
        <f t="shared" si="44"/>
        <v>728</v>
      </c>
      <c r="G766" s="5" t="s">
        <v>20</v>
      </c>
      <c r="H766">
        <v>148</v>
      </c>
      <c r="I766">
        <f t="shared" si="45"/>
        <v>54.12</v>
      </c>
      <c r="J766" t="s">
        <v>21</v>
      </c>
      <c r="K766" t="s">
        <v>22</v>
      </c>
      <c r="L766">
        <v>1305262800</v>
      </c>
      <c r="M766">
        <v>1305954000</v>
      </c>
      <c r="N766" s="19">
        <f t="shared" si="46"/>
        <v>40676.208333333336</v>
      </c>
      <c r="O766" s="19">
        <f t="shared" si="47"/>
        <v>40684.208333333336</v>
      </c>
      <c r="P766" t="b">
        <v>0</v>
      </c>
      <c r="Q766" t="b">
        <v>0</v>
      </c>
      <c r="R766" t="s">
        <v>23</v>
      </c>
      <c r="S766" t="s">
        <v>2033</v>
      </c>
      <c r="T766" t="s">
        <v>2034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>
        <f t="shared" si="44"/>
        <v>208</v>
      </c>
      <c r="G767" s="5" t="s">
        <v>20</v>
      </c>
      <c r="H767">
        <v>198</v>
      </c>
      <c r="I767">
        <f t="shared" si="45"/>
        <v>41.04</v>
      </c>
      <c r="J767" t="s">
        <v>21</v>
      </c>
      <c r="K767" t="s">
        <v>22</v>
      </c>
      <c r="L767">
        <v>1492232400</v>
      </c>
      <c r="M767">
        <v>1494392400</v>
      </c>
      <c r="N767" s="19">
        <f t="shared" si="46"/>
        <v>42840.208333333328</v>
      </c>
      <c r="O767" s="19">
        <f t="shared" si="47"/>
        <v>42865.208333333328</v>
      </c>
      <c r="P767" t="b">
        <v>1</v>
      </c>
      <c r="Q767" t="b">
        <v>1</v>
      </c>
      <c r="R767" t="s">
        <v>60</v>
      </c>
      <c r="S767" t="s">
        <v>2033</v>
      </c>
      <c r="T767" t="s">
        <v>2043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>
        <f t="shared" si="44"/>
        <v>31</v>
      </c>
      <c r="G768" s="4" t="s">
        <v>14</v>
      </c>
      <c r="H768">
        <v>248</v>
      </c>
      <c r="I768">
        <f t="shared" si="45"/>
        <v>55.05</v>
      </c>
      <c r="J768" t="s">
        <v>26</v>
      </c>
      <c r="K768" t="s">
        <v>27</v>
      </c>
      <c r="L768">
        <v>1537333200</v>
      </c>
      <c r="M768">
        <v>1537419600</v>
      </c>
      <c r="N768" s="19">
        <f t="shared" si="46"/>
        <v>43362.208333333328</v>
      </c>
      <c r="O768" s="19">
        <f t="shared" si="47"/>
        <v>43363.208333333328</v>
      </c>
      <c r="P768" t="b">
        <v>0</v>
      </c>
      <c r="Q768" t="b">
        <v>0</v>
      </c>
      <c r="R768" t="s">
        <v>474</v>
      </c>
      <c r="S768" t="s">
        <v>2039</v>
      </c>
      <c r="T768" t="s">
        <v>2061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>
        <f t="shared" si="44"/>
        <v>57</v>
      </c>
      <c r="G769" s="4" t="s">
        <v>14</v>
      </c>
      <c r="H769">
        <v>513</v>
      </c>
      <c r="I769">
        <f t="shared" si="45"/>
        <v>107.94</v>
      </c>
      <c r="J769" t="s">
        <v>21</v>
      </c>
      <c r="K769" t="s">
        <v>22</v>
      </c>
      <c r="L769">
        <v>1444107600</v>
      </c>
      <c r="M769">
        <v>1447999200</v>
      </c>
      <c r="N769" s="19">
        <f t="shared" si="46"/>
        <v>42283.208333333328</v>
      </c>
      <c r="O769" s="19">
        <f t="shared" si="47"/>
        <v>42328.25</v>
      </c>
      <c r="P769" t="b">
        <v>0</v>
      </c>
      <c r="Q769" t="b">
        <v>0</v>
      </c>
      <c r="R769" t="s">
        <v>206</v>
      </c>
      <c r="S769" t="s">
        <v>2045</v>
      </c>
      <c r="T769" t="s">
        <v>2057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>
        <f t="shared" si="44"/>
        <v>231</v>
      </c>
      <c r="G770" s="5" t="s">
        <v>20</v>
      </c>
      <c r="H770">
        <v>150</v>
      </c>
      <c r="I770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s="19">
        <f t="shared" si="46"/>
        <v>41619.25</v>
      </c>
      <c r="O770" s="19">
        <f t="shared" si="47"/>
        <v>41634.25</v>
      </c>
      <c r="P770" t="b">
        <v>0</v>
      </c>
      <c r="Q770" t="b">
        <v>0</v>
      </c>
      <c r="R770" t="s">
        <v>33</v>
      </c>
      <c r="S770" t="s">
        <v>2037</v>
      </c>
      <c r="T770" t="s">
        <v>2038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>
        <f t="shared" ref="F771:F834" si="48">ROUND(E771/D771*100,0)</f>
        <v>87</v>
      </c>
      <c r="G771" s="4" t="s">
        <v>14</v>
      </c>
      <c r="H771">
        <v>3410</v>
      </c>
      <c r="I771">
        <f t="shared" ref="I771:I834" si="49">ROUND(E771/H771,2)</f>
        <v>32</v>
      </c>
      <c r="J771" t="s">
        <v>21</v>
      </c>
      <c r="K771" t="s">
        <v>22</v>
      </c>
      <c r="L771">
        <v>1376542800</v>
      </c>
      <c r="M771">
        <v>1378789200</v>
      </c>
      <c r="N771" s="19">
        <f t="shared" ref="N771:N834" si="50">(((L771/60)/60)/24)+DATE(1970,1,1)</f>
        <v>41501.208333333336</v>
      </c>
      <c r="O771" s="19">
        <f t="shared" ref="O771:O834" si="51">(((M771/60)/60)/24)+DATE(1970,1,1)</f>
        <v>41527.208333333336</v>
      </c>
      <c r="P771" t="b">
        <v>0</v>
      </c>
      <c r="Q771" t="b">
        <v>0</v>
      </c>
      <c r="R771" t="s">
        <v>89</v>
      </c>
      <c r="S771" t="s">
        <v>2048</v>
      </c>
      <c r="T771" t="s">
        <v>2049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>
        <f t="shared" si="48"/>
        <v>271</v>
      </c>
      <c r="G772" s="5" t="s">
        <v>20</v>
      </c>
      <c r="H772">
        <v>216</v>
      </c>
      <c r="I772">
        <f t="shared" si="49"/>
        <v>53.9</v>
      </c>
      <c r="J772" t="s">
        <v>107</v>
      </c>
      <c r="K772" t="s">
        <v>108</v>
      </c>
      <c r="L772">
        <v>1397451600</v>
      </c>
      <c r="M772">
        <v>1398056400</v>
      </c>
      <c r="N772" s="19">
        <f t="shared" si="50"/>
        <v>41743.208333333336</v>
      </c>
      <c r="O772" s="19">
        <f t="shared" si="51"/>
        <v>41750.208333333336</v>
      </c>
      <c r="P772" t="b">
        <v>0</v>
      </c>
      <c r="Q772" t="b">
        <v>1</v>
      </c>
      <c r="R772" t="s">
        <v>33</v>
      </c>
      <c r="S772" t="s">
        <v>2037</v>
      </c>
      <c r="T772" t="s">
        <v>2038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>
        <f t="shared" si="48"/>
        <v>49</v>
      </c>
      <c r="G773" s="7" t="s">
        <v>74</v>
      </c>
      <c r="H773">
        <v>26</v>
      </c>
      <c r="I773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s="19">
        <f t="shared" si="50"/>
        <v>43491.25</v>
      </c>
      <c r="O773" s="19">
        <f t="shared" si="51"/>
        <v>43518.25</v>
      </c>
      <c r="P773" t="b">
        <v>0</v>
      </c>
      <c r="Q773" t="b">
        <v>0</v>
      </c>
      <c r="R773" t="s">
        <v>33</v>
      </c>
      <c r="S773" t="s">
        <v>2037</v>
      </c>
      <c r="T773" t="s">
        <v>2038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>
        <f t="shared" si="48"/>
        <v>113</v>
      </c>
      <c r="G774" s="5" t="s">
        <v>20</v>
      </c>
      <c r="H774">
        <v>5139</v>
      </c>
      <c r="I774">
        <f t="shared" si="49"/>
        <v>33</v>
      </c>
      <c r="J774" t="s">
        <v>21</v>
      </c>
      <c r="K774" t="s">
        <v>22</v>
      </c>
      <c r="L774">
        <v>1549692000</v>
      </c>
      <c r="M774">
        <v>1550037600</v>
      </c>
      <c r="N774" s="19">
        <f t="shared" si="50"/>
        <v>43505.25</v>
      </c>
      <c r="O774" s="19">
        <f t="shared" si="51"/>
        <v>43509.25</v>
      </c>
      <c r="P774" t="b">
        <v>0</v>
      </c>
      <c r="Q774" t="b">
        <v>0</v>
      </c>
      <c r="R774" t="s">
        <v>60</v>
      </c>
      <c r="S774" t="s">
        <v>2033</v>
      </c>
      <c r="T774" t="s">
        <v>2043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>
        <f t="shared" si="48"/>
        <v>191</v>
      </c>
      <c r="G775" s="5" t="s">
        <v>20</v>
      </c>
      <c r="H775">
        <v>2353</v>
      </c>
      <c r="I775">
        <f t="shared" si="49"/>
        <v>43</v>
      </c>
      <c r="J775" t="s">
        <v>21</v>
      </c>
      <c r="K775" t="s">
        <v>22</v>
      </c>
      <c r="L775">
        <v>1492059600</v>
      </c>
      <c r="M775">
        <v>1492923600</v>
      </c>
      <c r="N775" s="19">
        <f t="shared" si="50"/>
        <v>42838.208333333328</v>
      </c>
      <c r="O775" s="19">
        <f t="shared" si="51"/>
        <v>42848.208333333328</v>
      </c>
      <c r="P775" t="b">
        <v>0</v>
      </c>
      <c r="Q775" t="b">
        <v>0</v>
      </c>
      <c r="R775" t="s">
        <v>33</v>
      </c>
      <c r="S775" t="s">
        <v>2037</v>
      </c>
      <c r="T775" t="s">
        <v>2038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>
        <f t="shared" si="48"/>
        <v>136</v>
      </c>
      <c r="G776" s="5" t="s">
        <v>20</v>
      </c>
      <c r="H776">
        <v>78</v>
      </c>
      <c r="I776">
        <f t="shared" si="49"/>
        <v>86.86</v>
      </c>
      <c r="J776" t="s">
        <v>107</v>
      </c>
      <c r="K776" t="s">
        <v>108</v>
      </c>
      <c r="L776">
        <v>1463979600</v>
      </c>
      <c r="M776">
        <v>1467522000</v>
      </c>
      <c r="N776" s="19">
        <f t="shared" si="50"/>
        <v>42513.208333333328</v>
      </c>
      <c r="O776" s="19">
        <f t="shared" si="51"/>
        <v>42554.208333333328</v>
      </c>
      <c r="P776" t="b">
        <v>0</v>
      </c>
      <c r="Q776" t="b">
        <v>0</v>
      </c>
      <c r="R776" t="s">
        <v>28</v>
      </c>
      <c r="S776" t="s">
        <v>2035</v>
      </c>
      <c r="T776" t="s">
        <v>2036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>
        <f t="shared" si="48"/>
        <v>10</v>
      </c>
      <c r="G777" s="4" t="s">
        <v>14</v>
      </c>
      <c r="H777">
        <v>10</v>
      </c>
      <c r="I777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s="19">
        <f t="shared" si="50"/>
        <v>41949.25</v>
      </c>
      <c r="O777" s="19">
        <f t="shared" si="51"/>
        <v>41959.25</v>
      </c>
      <c r="P777" t="b">
        <v>0</v>
      </c>
      <c r="Q777" t="b">
        <v>0</v>
      </c>
      <c r="R777" t="s">
        <v>23</v>
      </c>
      <c r="S777" t="s">
        <v>2033</v>
      </c>
      <c r="T777" t="s">
        <v>2034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>
        <f t="shared" si="48"/>
        <v>66</v>
      </c>
      <c r="G778" s="4" t="s">
        <v>14</v>
      </c>
      <c r="H778">
        <v>2201</v>
      </c>
      <c r="I778">
        <f t="shared" si="49"/>
        <v>33</v>
      </c>
      <c r="J778" t="s">
        <v>21</v>
      </c>
      <c r="K778" t="s">
        <v>22</v>
      </c>
      <c r="L778">
        <v>1562216400</v>
      </c>
      <c r="M778">
        <v>1563771600</v>
      </c>
      <c r="N778" s="19">
        <f t="shared" si="50"/>
        <v>43650.208333333328</v>
      </c>
      <c r="O778" s="19">
        <f t="shared" si="51"/>
        <v>43668.208333333328</v>
      </c>
      <c r="P778" t="b">
        <v>0</v>
      </c>
      <c r="Q778" t="b">
        <v>0</v>
      </c>
      <c r="R778" t="s">
        <v>33</v>
      </c>
      <c r="S778" t="s">
        <v>2037</v>
      </c>
      <c r="T778" t="s">
        <v>2038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>
        <f t="shared" si="48"/>
        <v>49</v>
      </c>
      <c r="G779" s="4" t="s">
        <v>14</v>
      </c>
      <c r="H779">
        <v>676</v>
      </c>
      <c r="I779">
        <f t="shared" si="49"/>
        <v>68.03</v>
      </c>
      <c r="J779" t="s">
        <v>21</v>
      </c>
      <c r="K779" t="s">
        <v>22</v>
      </c>
      <c r="L779">
        <v>1316754000</v>
      </c>
      <c r="M779">
        <v>1319259600</v>
      </c>
      <c r="N779" s="19">
        <f t="shared" si="50"/>
        <v>40809.208333333336</v>
      </c>
      <c r="O779" s="19">
        <f t="shared" si="51"/>
        <v>40838.208333333336</v>
      </c>
      <c r="P779" t="b">
        <v>0</v>
      </c>
      <c r="Q779" t="b">
        <v>0</v>
      </c>
      <c r="R779" t="s">
        <v>33</v>
      </c>
      <c r="S779" t="s">
        <v>2037</v>
      </c>
      <c r="T779" t="s">
        <v>2038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>
        <f t="shared" si="48"/>
        <v>788</v>
      </c>
      <c r="G780" s="5" t="s">
        <v>20</v>
      </c>
      <c r="H780">
        <v>174</v>
      </c>
      <c r="I780">
        <f t="shared" si="49"/>
        <v>58.87</v>
      </c>
      <c r="J780" t="s">
        <v>98</v>
      </c>
      <c r="K780" t="s">
        <v>99</v>
      </c>
      <c r="L780">
        <v>1313211600</v>
      </c>
      <c r="M780">
        <v>1313643600</v>
      </c>
      <c r="N780" s="19">
        <f t="shared" si="50"/>
        <v>40768.208333333336</v>
      </c>
      <c r="O780" s="19">
        <f t="shared" si="51"/>
        <v>40773.208333333336</v>
      </c>
      <c r="P780" t="b">
        <v>0</v>
      </c>
      <c r="Q780" t="b">
        <v>0</v>
      </c>
      <c r="R780" t="s">
        <v>71</v>
      </c>
      <c r="S780" t="s">
        <v>2039</v>
      </c>
      <c r="T780" t="s">
        <v>2047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>
        <f t="shared" si="48"/>
        <v>80</v>
      </c>
      <c r="G781" s="4" t="s">
        <v>14</v>
      </c>
      <c r="H781">
        <v>831</v>
      </c>
      <c r="I781">
        <f t="shared" si="49"/>
        <v>105.05</v>
      </c>
      <c r="J781" t="s">
        <v>21</v>
      </c>
      <c r="K781" t="s">
        <v>22</v>
      </c>
      <c r="L781">
        <v>1439528400</v>
      </c>
      <c r="M781">
        <v>1440306000</v>
      </c>
      <c r="N781" s="19">
        <f t="shared" si="50"/>
        <v>42230.208333333328</v>
      </c>
      <c r="O781" s="19">
        <f t="shared" si="51"/>
        <v>42239.208333333328</v>
      </c>
      <c r="P781" t="b">
        <v>0</v>
      </c>
      <c r="Q781" t="b">
        <v>1</v>
      </c>
      <c r="R781" t="s">
        <v>33</v>
      </c>
      <c r="S781" t="s">
        <v>2037</v>
      </c>
      <c r="T781" t="s">
        <v>2038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>
        <f t="shared" si="48"/>
        <v>106</v>
      </c>
      <c r="G782" s="5" t="s">
        <v>20</v>
      </c>
      <c r="H782">
        <v>164</v>
      </c>
      <c r="I782">
        <f t="shared" si="49"/>
        <v>33.049999999999997</v>
      </c>
      <c r="J782" t="s">
        <v>21</v>
      </c>
      <c r="K782" t="s">
        <v>22</v>
      </c>
      <c r="L782">
        <v>1469163600</v>
      </c>
      <c r="M782">
        <v>1470805200</v>
      </c>
      <c r="N782" s="19">
        <f t="shared" si="50"/>
        <v>42573.208333333328</v>
      </c>
      <c r="O782" s="19">
        <f t="shared" si="51"/>
        <v>42592.208333333328</v>
      </c>
      <c r="P782" t="b">
        <v>0</v>
      </c>
      <c r="Q782" t="b">
        <v>1</v>
      </c>
      <c r="R782" t="s">
        <v>53</v>
      </c>
      <c r="S782" t="s">
        <v>2039</v>
      </c>
      <c r="T782" t="s">
        <v>2042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>
        <f t="shared" si="48"/>
        <v>51</v>
      </c>
      <c r="G783" s="7" t="s">
        <v>74</v>
      </c>
      <c r="H783">
        <v>56</v>
      </c>
      <c r="I783">
        <f t="shared" si="49"/>
        <v>78.819999999999993</v>
      </c>
      <c r="J783" t="s">
        <v>98</v>
      </c>
      <c r="K783" t="s">
        <v>99</v>
      </c>
      <c r="L783">
        <v>1288501200</v>
      </c>
      <c r="M783">
        <v>1292911200</v>
      </c>
      <c r="N783" s="19">
        <f t="shared" si="50"/>
        <v>40482.208333333336</v>
      </c>
      <c r="O783" s="19">
        <f t="shared" si="51"/>
        <v>40533.25</v>
      </c>
      <c r="P783" t="b">
        <v>0</v>
      </c>
      <c r="Q783" t="b">
        <v>0</v>
      </c>
      <c r="R783" t="s">
        <v>33</v>
      </c>
      <c r="S783" t="s">
        <v>2037</v>
      </c>
      <c r="T783" t="s">
        <v>2038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>
        <f t="shared" si="48"/>
        <v>215</v>
      </c>
      <c r="G784" s="5" t="s">
        <v>20</v>
      </c>
      <c r="H784">
        <v>161</v>
      </c>
      <c r="I784">
        <f t="shared" si="49"/>
        <v>68.2</v>
      </c>
      <c r="J784" t="s">
        <v>21</v>
      </c>
      <c r="K784" t="s">
        <v>22</v>
      </c>
      <c r="L784">
        <v>1298959200</v>
      </c>
      <c r="M784">
        <v>1301374800</v>
      </c>
      <c r="N784" s="19">
        <f t="shared" si="50"/>
        <v>40603.25</v>
      </c>
      <c r="O784" s="19">
        <f t="shared" si="51"/>
        <v>40631.208333333336</v>
      </c>
      <c r="P784" t="b">
        <v>0</v>
      </c>
      <c r="Q784" t="b">
        <v>1</v>
      </c>
      <c r="R784" t="s">
        <v>71</v>
      </c>
      <c r="S784" t="s">
        <v>2039</v>
      </c>
      <c r="T784" t="s">
        <v>2047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>
        <f t="shared" si="48"/>
        <v>141</v>
      </c>
      <c r="G785" s="5" t="s">
        <v>20</v>
      </c>
      <c r="H785">
        <v>138</v>
      </c>
      <c r="I785">
        <f t="shared" si="49"/>
        <v>75.73</v>
      </c>
      <c r="J785" t="s">
        <v>21</v>
      </c>
      <c r="K785" t="s">
        <v>22</v>
      </c>
      <c r="L785">
        <v>1387260000</v>
      </c>
      <c r="M785">
        <v>1387864800</v>
      </c>
      <c r="N785" s="19">
        <f t="shared" si="50"/>
        <v>41625.25</v>
      </c>
      <c r="O785" s="19">
        <f t="shared" si="51"/>
        <v>41632.25</v>
      </c>
      <c r="P785" t="b">
        <v>0</v>
      </c>
      <c r="Q785" t="b">
        <v>0</v>
      </c>
      <c r="R785" t="s">
        <v>23</v>
      </c>
      <c r="S785" t="s">
        <v>2033</v>
      </c>
      <c r="T785" t="s">
        <v>2034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>
        <f t="shared" si="48"/>
        <v>115</v>
      </c>
      <c r="G786" s="5" t="s">
        <v>20</v>
      </c>
      <c r="H786">
        <v>3308</v>
      </c>
      <c r="I786">
        <f t="shared" si="49"/>
        <v>31</v>
      </c>
      <c r="J786" t="s">
        <v>21</v>
      </c>
      <c r="K786" t="s">
        <v>22</v>
      </c>
      <c r="L786">
        <v>1457244000</v>
      </c>
      <c r="M786">
        <v>1458190800</v>
      </c>
      <c r="N786" s="19">
        <f t="shared" si="50"/>
        <v>42435.25</v>
      </c>
      <c r="O786" s="19">
        <f t="shared" si="51"/>
        <v>42446.208333333328</v>
      </c>
      <c r="P786" t="b">
        <v>0</v>
      </c>
      <c r="Q786" t="b">
        <v>0</v>
      </c>
      <c r="R786" t="s">
        <v>28</v>
      </c>
      <c r="S786" t="s">
        <v>2035</v>
      </c>
      <c r="T786" t="s">
        <v>2036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>
        <f t="shared" si="48"/>
        <v>193</v>
      </c>
      <c r="G787" s="5" t="s">
        <v>20</v>
      </c>
      <c r="H787">
        <v>127</v>
      </c>
      <c r="I787">
        <f t="shared" si="49"/>
        <v>101.88</v>
      </c>
      <c r="J787" t="s">
        <v>26</v>
      </c>
      <c r="K787" t="s">
        <v>27</v>
      </c>
      <c r="L787">
        <v>1556341200</v>
      </c>
      <c r="M787">
        <v>1559278800</v>
      </c>
      <c r="N787" s="19">
        <f t="shared" si="50"/>
        <v>43582.208333333328</v>
      </c>
      <c r="O787" s="19">
        <f t="shared" si="51"/>
        <v>43616.208333333328</v>
      </c>
      <c r="P787" t="b">
        <v>0</v>
      </c>
      <c r="Q787" t="b">
        <v>1</v>
      </c>
      <c r="R787" t="s">
        <v>71</v>
      </c>
      <c r="S787" t="s">
        <v>2039</v>
      </c>
      <c r="T787" t="s">
        <v>2047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>
        <f t="shared" si="48"/>
        <v>730</v>
      </c>
      <c r="G788" s="5" t="s">
        <v>20</v>
      </c>
      <c r="H788">
        <v>207</v>
      </c>
      <c r="I788">
        <f t="shared" si="49"/>
        <v>52.88</v>
      </c>
      <c r="J788" t="s">
        <v>107</v>
      </c>
      <c r="K788" t="s">
        <v>108</v>
      </c>
      <c r="L788">
        <v>1522126800</v>
      </c>
      <c r="M788">
        <v>1522731600</v>
      </c>
      <c r="N788" s="19">
        <f t="shared" si="50"/>
        <v>43186.208333333328</v>
      </c>
      <c r="O788" s="19">
        <f t="shared" si="51"/>
        <v>43193.208333333328</v>
      </c>
      <c r="P788" t="b">
        <v>0</v>
      </c>
      <c r="Q788" t="b">
        <v>1</v>
      </c>
      <c r="R788" t="s">
        <v>159</v>
      </c>
      <c r="S788" t="s">
        <v>2033</v>
      </c>
      <c r="T788" t="s">
        <v>2056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>
        <f t="shared" si="48"/>
        <v>100</v>
      </c>
      <c r="G789" s="4" t="s">
        <v>14</v>
      </c>
      <c r="H789">
        <v>859</v>
      </c>
      <c r="I789">
        <f t="shared" si="49"/>
        <v>71.010000000000005</v>
      </c>
      <c r="J789" t="s">
        <v>15</v>
      </c>
      <c r="K789" t="s">
        <v>16</v>
      </c>
      <c r="L789">
        <v>1305954000</v>
      </c>
      <c r="M789">
        <v>1306731600</v>
      </c>
      <c r="N789" s="19">
        <f t="shared" si="50"/>
        <v>40684.208333333336</v>
      </c>
      <c r="O789" s="19">
        <f t="shared" si="51"/>
        <v>40693.208333333336</v>
      </c>
      <c r="P789" t="b">
        <v>0</v>
      </c>
      <c r="Q789" t="b">
        <v>0</v>
      </c>
      <c r="R789" t="s">
        <v>23</v>
      </c>
      <c r="S789" t="s">
        <v>2033</v>
      </c>
      <c r="T789" t="s">
        <v>2034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>
        <f t="shared" si="48"/>
        <v>88</v>
      </c>
      <c r="G790" s="6" t="s">
        <v>47</v>
      </c>
      <c r="H790">
        <v>31</v>
      </c>
      <c r="I790">
        <f t="shared" si="49"/>
        <v>102.39</v>
      </c>
      <c r="J790" t="s">
        <v>21</v>
      </c>
      <c r="K790" t="s">
        <v>22</v>
      </c>
      <c r="L790">
        <v>1350709200</v>
      </c>
      <c r="M790">
        <v>1352527200</v>
      </c>
      <c r="N790" s="19">
        <f t="shared" si="50"/>
        <v>41202.208333333336</v>
      </c>
      <c r="O790" s="19">
        <f t="shared" si="51"/>
        <v>41223.25</v>
      </c>
      <c r="P790" t="b">
        <v>0</v>
      </c>
      <c r="Q790" t="b">
        <v>0</v>
      </c>
      <c r="R790" t="s">
        <v>71</v>
      </c>
      <c r="S790" t="s">
        <v>2039</v>
      </c>
      <c r="T790" t="s">
        <v>2047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>
        <f t="shared" si="48"/>
        <v>37</v>
      </c>
      <c r="G791" s="4" t="s">
        <v>14</v>
      </c>
      <c r="H791">
        <v>45</v>
      </c>
      <c r="I791">
        <f t="shared" si="49"/>
        <v>74.47</v>
      </c>
      <c r="J791" t="s">
        <v>21</v>
      </c>
      <c r="K791" t="s">
        <v>22</v>
      </c>
      <c r="L791">
        <v>1401166800</v>
      </c>
      <c r="M791">
        <v>1404363600</v>
      </c>
      <c r="N791" s="19">
        <f t="shared" si="50"/>
        <v>41786.208333333336</v>
      </c>
      <c r="O791" s="19">
        <f t="shared" si="51"/>
        <v>41823.208333333336</v>
      </c>
      <c r="P791" t="b">
        <v>0</v>
      </c>
      <c r="Q791" t="b">
        <v>0</v>
      </c>
      <c r="R791" t="s">
        <v>33</v>
      </c>
      <c r="S791" t="s">
        <v>2037</v>
      </c>
      <c r="T791" t="s">
        <v>2038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>
        <f t="shared" si="48"/>
        <v>31</v>
      </c>
      <c r="G792" s="7" t="s">
        <v>74</v>
      </c>
      <c r="H792">
        <v>1113</v>
      </c>
      <c r="I792">
        <f t="shared" si="49"/>
        <v>51.01</v>
      </c>
      <c r="J792" t="s">
        <v>21</v>
      </c>
      <c r="K792" t="s">
        <v>22</v>
      </c>
      <c r="L792">
        <v>1266127200</v>
      </c>
      <c r="M792">
        <v>1266645600</v>
      </c>
      <c r="N792" s="19">
        <f t="shared" si="50"/>
        <v>40223.25</v>
      </c>
      <c r="O792" s="19">
        <f t="shared" si="51"/>
        <v>40229.25</v>
      </c>
      <c r="P792" t="b">
        <v>0</v>
      </c>
      <c r="Q792" t="b">
        <v>0</v>
      </c>
      <c r="R792" t="s">
        <v>33</v>
      </c>
      <c r="S792" t="s">
        <v>2037</v>
      </c>
      <c r="T792" t="s">
        <v>2038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>
        <f t="shared" si="48"/>
        <v>26</v>
      </c>
      <c r="G793" s="4" t="s">
        <v>14</v>
      </c>
      <c r="H793">
        <v>6</v>
      </c>
      <c r="I793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s="19">
        <f t="shared" si="50"/>
        <v>42715.25</v>
      </c>
      <c r="O793" s="19">
        <f t="shared" si="51"/>
        <v>42731.25</v>
      </c>
      <c r="P793" t="b">
        <v>0</v>
      </c>
      <c r="Q793" t="b">
        <v>0</v>
      </c>
      <c r="R793" t="s">
        <v>17</v>
      </c>
      <c r="S793" t="s">
        <v>2031</v>
      </c>
      <c r="T793" t="s">
        <v>2032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>
        <f t="shared" si="48"/>
        <v>34</v>
      </c>
      <c r="G794" s="4" t="s">
        <v>14</v>
      </c>
      <c r="H794">
        <v>7</v>
      </c>
      <c r="I794">
        <f t="shared" si="49"/>
        <v>97.14</v>
      </c>
      <c r="J794" t="s">
        <v>21</v>
      </c>
      <c r="K794" t="s">
        <v>22</v>
      </c>
      <c r="L794">
        <v>1372222800</v>
      </c>
      <c r="M794">
        <v>1374642000</v>
      </c>
      <c r="N794" s="19">
        <f t="shared" si="50"/>
        <v>41451.208333333336</v>
      </c>
      <c r="O794" s="19">
        <f t="shared" si="51"/>
        <v>41479.208333333336</v>
      </c>
      <c r="P794" t="b">
        <v>0</v>
      </c>
      <c r="Q794" t="b">
        <v>1</v>
      </c>
      <c r="R794" t="s">
        <v>33</v>
      </c>
      <c r="S794" t="s">
        <v>2037</v>
      </c>
      <c r="T794" t="s">
        <v>2038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>
        <f t="shared" si="48"/>
        <v>1186</v>
      </c>
      <c r="G795" s="5" t="s">
        <v>20</v>
      </c>
      <c r="H795">
        <v>181</v>
      </c>
      <c r="I795">
        <f t="shared" si="49"/>
        <v>72.069999999999993</v>
      </c>
      <c r="J795" t="s">
        <v>98</v>
      </c>
      <c r="K795" t="s">
        <v>99</v>
      </c>
      <c r="L795">
        <v>1372136400</v>
      </c>
      <c r="M795">
        <v>1372482000</v>
      </c>
      <c r="N795" s="19">
        <f t="shared" si="50"/>
        <v>41450.208333333336</v>
      </c>
      <c r="O795" s="19">
        <f t="shared" si="51"/>
        <v>41454.208333333336</v>
      </c>
      <c r="P795" t="b">
        <v>0</v>
      </c>
      <c r="Q795" t="b">
        <v>0</v>
      </c>
      <c r="R795" t="s">
        <v>68</v>
      </c>
      <c r="S795" t="s">
        <v>2045</v>
      </c>
      <c r="T795" t="s">
        <v>2046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>
        <f t="shared" si="48"/>
        <v>125</v>
      </c>
      <c r="G796" s="5" t="s">
        <v>20</v>
      </c>
      <c r="H796">
        <v>110</v>
      </c>
      <c r="I796">
        <f t="shared" si="49"/>
        <v>75.239999999999995</v>
      </c>
      <c r="J796" t="s">
        <v>21</v>
      </c>
      <c r="K796" t="s">
        <v>22</v>
      </c>
      <c r="L796">
        <v>1513922400</v>
      </c>
      <c r="M796">
        <v>1514959200</v>
      </c>
      <c r="N796" s="19">
        <f t="shared" si="50"/>
        <v>43091.25</v>
      </c>
      <c r="O796" s="19">
        <f t="shared" si="51"/>
        <v>43103.25</v>
      </c>
      <c r="P796" t="b">
        <v>0</v>
      </c>
      <c r="Q796" t="b">
        <v>0</v>
      </c>
      <c r="R796" t="s">
        <v>23</v>
      </c>
      <c r="S796" t="s">
        <v>2033</v>
      </c>
      <c r="T796" t="s">
        <v>2034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>
        <f t="shared" si="48"/>
        <v>14</v>
      </c>
      <c r="G797" s="4" t="s">
        <v>14</v>
      </c>
      <c r="H797">
        <v>31</v>
      </c>
      <c r="I797">
        <f t="shared" si="49"/>
        <v>32.97</v>
      </c>
      <c r="J797" t="s">
        <v>21</v>
      </c>
      <c r="K797" t="s">
        <v>22</v>
      </c>
      <c r="L797">
        <v>1477976400</v>
      </c>
      <c r="M797">
        <v>1478235600</v>
      </c>
      <c r="N797" s="19">
        <f t="shared" si="50"/>
        <v>42675.208333333328</v>
      </c>
      <c r="O797" s="19">
        <f t="shared" si="51"/>
        <v>42678.208333333328</v>
      </c>
      <c r="P797" t="b">
        <v>0</v>
      </c>
      <c r="Q797" t="b">
        <v>0</v>
      </c>
      <c r="R797" t="s">
        <v>53</v>
      </c>
      <c r="S797" t="s">
        <v>2039</v>
      </c>
      <c r="T797" t="s">
        <v>2042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>
        <f t="shared" si="48"/>
        <v>55</v>
      </c>
      <c r="G798" s="4" t="s">
        <v>14</v>
      </c>
      <c r="H798">
        <v>78</v>
      </c>
      <c r="I798">
        <f t="shared" si="49"/>
        <v>54.81</v>
      </c>
      <c r="J798" t="s">
        <v>21</v>
      </c>
      <c r="K798" t="s">
        <v>22</v>
      </c>
      <c r="L798">
        <v>1407474000</v>
      </c>
      <c r="M798">
        <v>1408078800</v>
      </c>
      <c r="N798" s="19">
        <f t="shared" si="50"/>
        <v>41859.208333333336</v>
      </c>
      <c r="O798" s="19">
        <f t="shared" si="51"/>
        <v>41866.208333333336</v>
      </c>
      <c r="P798" t="b">
        <v>0</v>
      </c>
      <c r="Q798" t="b">
        <v>1</v>
      </c>
      <c r="R798" t="s">
        <v>292</v>
      </c>
      <c r="S798" t="s">
        <v>2048</v>
      </c>
      <c r="T798" t="s">
        <v>2059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>
        <f t="shared" si="48"/>
        <v>110</v>
      </c>
      <c r="G799" s="5" t="s">
        <v>20</v>
      </c>
      <c r="H799">
        <v>185</v>
      </c>
      <c r="I799">
        <f t="shared" si="49"/>
        <v>45.04</v>
      </c>
      <c r="J799" t="s">
        <v>21</v>
      </c>
      <c r="K799" t="s">
        <v>22</v>
      </c>
      <c r="L799">
        <v>1546149600</v>
      </c>
      <c r="M799">
        <v>1548136800</v>
      </c>
      <c r="N799" s="19">
        <f t="shared" si="50"/>
        <v>43464.25</v>
      </c>
      <c r="O799" s="19">
        <f t="shared" si="51"/>
        <v>43487.25</v>
      </c>
      <c r="P799" t="b">
        <v>0</v>
      </c>
      <c r="Q799" t="b">
        <v>0</v>
      </c>
      <c r="R799" t="s">
        <v>28</v>
      </c>
      <c r="S799" t="s">
        <v>2035</v>
      </c>
      <c r="T799" t="s">
        <v>2036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>
        <f t="shared" si="48"/>
        <v>188</v>
      </c>
      <c r="G800" s="5" t="s">
        <v>20</v>
      </c>
      <c r="H800">
        <v>121</v>
      </c>
      <c r="I800">
        <f t="shared" si="49"/>
        <v>52.96</v>
      </c>
      <c r="J800" t="s">
        <v>21</v>
      </c>
      <c r="K800" t="s">
        <v>22</v>
      </c>
      <c r="L800">
        <v>1338440400</v>
      </c>
      <c r="M800">
        <v>1340859600</v>
      </c>
      <c r="N800" s="19">
        <f t="shared" si="50"/>
        <v>41060.208333333336</v>
      </c>
      <c r="O800" s="19">
        <f t="shared" si="51"/>
        <v>41088.208333333336</v>
      </c>
      <c r="P800" t="b">
        <v>0</v>
      </c>
      <c r="Q800" t="b">
        <v>1</v>
      </c>
      <c r="R800" t="s">
        <v>33</v>
      </c>
      <c r="S800" t="s">
        <v>2037</v>
      </c>
      <c r="T800" t="s">
        <v>2038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>
        <f t="shared" si="48"/>
        <v>87</v>
      </c>
      <c r="G801" s="4" t="s">
        <v>14</v>
      </c>
      <c r="H801">
        <v>1225</v>
      </c>
      <c r="I801">
        <f t="shared" si="49"/>
        <v>60.02</v>
      </c>
      <c r="J801" t="s">
        <v>40</v>
      </c>
      <c r="K801" t="s">
        <v>41</v>
      </c>
      <c r="L801">
        <v>1454133600</v>
      </c>
      <c r="M801">
        <v>1454479200</v>
      </c>
      <c r="N801" s="19">
        <f t="shared" si="50"/>
        <v>42399.25</v>
      </c>
      <c r="O801" s="19">
        <f t="shared" si="51"/>
        <v>42403.25</v>
      </c>
      <c r="P801" t="b">
        <v>0</v>
      </c>
      <c r="Q801" t="b">
        <v>0</v>
      </c>
      <c r="R801" t="s">
        <v>33</v>
      </c>
      <c r="S801" t="s">
        <v>2037</v>
      </c>
      <c r="T801" t="s">
        <v>2038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>
        <f t="shared" si="48"/>
        <v>1</v>
      </c>
      <c r="G802" s="4" t="s">
        <v>14</v>
      </c>
      <c r="H802">
        <v>1</v>
      </c>
      <c r="I802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s="19">
        <f t="shared" si="50"/>
        <v>42167.208333333328</v>
      </c>
      <c r="O802" s="19">
        <f t="shared" si="51"/>
        <v>42171.208333333328</v>
      </c>
      <c r="P802" t="b">
        <v>0</v>
      </c>
      <c r="Q802" t="b">
        <v>0</v>
      </c>
      <c r="R802" t="s">
        <v>23</v>
      </c>
      <c r="S802" t="s">
        <v>2033</v>
      </c>
      <c r="T802" t="s">
        <v>2034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>
        <f t="shared" si="48"/>
        <v>203</v>
      </c>
      <c r="G803" s="5" t="s">
        <v>20</v>
      </c>
      <c r="H803">
        <v>106</v>
      </c>
      <c r="I803">
        <f t="shared" si="49"/>
        <v>44.03</v>
      </c>
      <c r="J803" t="s">
        <v>21</v>
      </c>
      <c r="K803" t="s">
        <v>22</v>
      </c>
      <c r="L803">
        <v>1577772000</v>
      </c>
      <c r="M803">
        <v>1579672800</v>
      </c>
      <c r="N803" s="19">
        <f t="shared" si="50"/>
        <v>43830.25</v>
      </c>
      <c r="O803" s="19">
        <f t="shared" si="51"/>
        <v>43852.25</v>
      </c>
      <c r="P803" t="b">
        <v>0</v>
      </c>
      <c r="Q803" t="b">
        <v>1</v>
      </c>
      <c r="R803" t="s">
        <v>122</v>
      </c>
      <c r="S803" t="s">
        <v>2052</v>
      </c>
      <c r="T803" t="s">
        <v>2053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>
        <f t="shared" si="48"/>
        <v>197</v>
      </c>
      <c r="G804" s="5" t="s">
        <v>20</v>
      </c>
      <c r="H804">
        <v>142</v>
      </c>
      <c r="I804">
        <f t="shared" si="49"/>
        <v>86.03</v>
      </c>
      <c r="J804" t="s">
        <v>21</v>
      </c>
      <c r="K804" t="s">
        <v>22</v>
      </c>
      <c r="L804">
        <v>1562216400</v>
      </c>
      <c r="M804">
        <v>1562389200</v>
      </c>
      <c r="N804" s="19">
        <f t="shared" si="50"/>
        <v>43650.208333333328</v>
      </c>
      <c r="O804" s="19">
        <f t="shared" si="51"/>
        <v>43652.208333333328</v>
      </c>
      <c r="P804" t="b">
        <v>0</v>
      </c>
      <c r="Q804" t="b">
        <v>0</v>
      </c>
      <c r="R804" t="s">
        <v>122</v>
      </c>
      <c r="S804" t="s">
        <v>2052</v>
      </c>
      <c r="T804" t="s">
        <v>2053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>
        <f t="shared" si="48"/>
        <v>107</v>
      </c>
      <c r="G805" s="5" t="s">
        <v>20</v>
      </c>
      <c r="H805">
        <v>233</v>
      </c>
      <c r="I805">
        <f t="shared" si="49"/>
        <v>28.01</v>
      </c>
      <c r="J805" t="s">
        <v>21</v>
      </c>
      <c r="K805" t="s">
        <v>22</v>
      </c>
      <c r="L805">
        <v>1548568800</v>
      </c>
      <c r="M805">
        <v>1551506400</v>
      </c>
      <c r="N805" s="19">
        <f t="shared" si="50"/>
        <v>43492.25</v>
      </c>
      <c r="O805" s="19">
        <f t="shared" si="51"/>
        <v>43526.25</v>
      </c>
      <c r="P805" t="b">
        <v>0</v>
      </c>
      <c r="Q805" t="b">
        <v>0</v>
      </c>
      <c r="R805" t="s">
        <v>33</v>
      </c>
      <c r="S805" t="s">
        <v>2037</v>
      </c>
      <c r="T805" t="s">
        <v>2038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>
        <f t="shared" si="48"/>
        <v>269</v>
      </c>
      <c r="G806" s="5" t="s">
        <v>20</v>
      </c>
      <c r="H806">
        <v>218</v>
      </c>
      <c r="I806">
        <f t="shared" si="49"/>
        <v>32.049999999999997</v>
      </c>
      <c r="J806" t="s">
        <v>21</v>
      </c>
      <c r="K806" t="s">
        <v>22</v>
      </c>
      <c r="L806">
        <v>1514872800</v>
      </c>
      <c r="M806">
        <v>1516600800</v>
      </c>
      <c r="N806" s="19">
        <f t="shared" si="50"/>
        <v>43102.25</v>
      </c>
      <c r="O806" s="19">
        <f t="shared" si="51"/>
        <v>43122.25</v>
      </c>
      <c r="P806" t="b">
        <v>0</v>
      </c>
      <c r="Q806" t="b">
        <v>0</v>
      </c>
      <c r="R806" t="s">
        <v>23</v>
      </c>
      <c r="S806" t="s">
        <v>2033</v>
      </c>
      <c r="T806" t="s">
        <v>2034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>
        <f t="shared" si="48"/>
        <v>51</v>
      </c>
      <c r="G807" s="4" t="s">
        <v>14</v>
      </c>
      <c r="H807">
        <v>67</v>
      </c>
      <c r="I807">
        <f t="shared" si="49"/>
        <v>73.61</v>
      </c>
      <c r="J807" t="s">
        <v>26</v>
      </c>
      <c r="K807" t="s">
        <v>27</v>
      </c>
      <c r="L807">
        <v>1416031200</v>
      </c>
      <c r="M807">
        <v>1420437600</v>
      </c>
      <c r="N807" s="19">
        <f t="shared" si="50"/>
        <v>41958.25</v>
      </c>
      <c r="O807" s="19">
        <f t="shared" si="51"/>
        <v>42009.25</v>
      </c>
      <c r="P807" t="b">
        <v>0</v>
      </c>
      <c r="Q807" t="b">
        <v>0</v>
      </c>
      <c r="R807" t="s">
        <v>42</v>
      </c>
      <c r="S807" t="s">
        <v>2039</v>
      </c>
      <c r="T807" t="s">
        <v>2040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>
        <f t="shared" si="48"/>
        <v>1180</v>
      </c>
      <c r="G808" s="5" t="s">
        <v>20</v>
      </c>
      <c r="H808">
        <v>76</v>
      </c>
      <c r="I808">
        <f t="shared" si="49"/>
        <v>108.71</v>
      </c>
      <c r="J808" t="s">
        <v>21</v>
      </c>
      <c r="K808" t="s">
        <v>22</v>
      </c>
      <c r="L808">
        <v>1330927200</v>
      </c>
      <c r="M808">
        <v>1332997200</v>
      </c>
      <c r="N808" s="19">
        <f t="shared" si="50"/>
        <v>40973.25</v>
      </c>
      <c r="O808" s="19">
        <f t="shared" si="51"/>
        <v>40997.208333333336</v>
      </c>
      <c r="P808" t="b">
        <v>0</v>
      </c>
      <c r="Q808" t="b">
        <v>1</v>
      </c>
      <c r="R808" t="s">
        <v>53</v>
      </c>
      <c r="S808" t="s">
        <v>2039</v>
      </c>
      <c r="T808" t="s">
        <v>2042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>
        <f t="shared" si="48"/>
        <v>264</v>
      </c>
      <c r="G809" s="5" t="s">
        <v>20</v>
      </c>
      <c r="H809">
        <v>43</v>
      </c>
      <c r="I809">
        <f t="shared" si="49"/>
        <v>42.98</v>
      </c>
      <c r="J809" t="s">
        <v>21</v>
      </c>
      <c r="K809" t="s">
        <v>22</v>
      </c>
      <c r="L809">
        <v>1571115600</v>
      </c>
      <c r="M809">
        <v>1574920800</v>
      </c>
      <c r="N809" s="19">
        <f t="shared" si="50"/>
        <v>43753.208333333328</v>
      </c>
      <c r="O809" s="19">
        <f t="shared" si="51"/>
        <v>43797.25</v>
      </c>
      <c r="P809" t="b">
        <v>0</v>
      </c>
      <c r="Q809" t="b">
        <v>1</v>
      </c>
      <c r="R809" t="s">
        <v>33</v>
      </c>
      <c r="S809" t="s">
        <v>2037</v>
      </c>
      <c r="T809" t="s">
        <v>2038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>
        <f t="shared" si="48"/>
        <v>30</v>
      </c>
      <c r="G810" s="4" t="s">
        <v>14</v>
      </c>
      <c r="H810">
        <v>19</v>
      </c>
      <c r="I810">
        <f t="shared" si="49"/>
        <v>83.32</v>
      </c>
      <c r="J810" t="s">
        <v>21</v>
      </c>
      <c r="K810" t="s">
        <v>22</v>
      </c>
      <c r="L810">
        <v>1463461200</v>
      </c>
      <c r="M810">
        <v>1464930000</v>
      </c>
      <c r="N810" s="19">
        <f t="shared" si="50"/>
        <v>42507.208333333328</v>
      </c>
      <c r="O810" s="19">
        <f t="shared" si="51"/>
        <v>42524.208333333328</v>
      </c>
      <c r="P810" t="b">
        <v>0</v>
      </c>
      <c r="Q810" t="b">
        <v>0</v>
      </c>
      <c r="R810" t="s">
        <v>17</v>
      </c>
      <c r="S810" t="s">
        <v>2031</v>
      </c>
      <c r="T810" t="s">
        <v>2032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>
        <f t="shared" si="48"/>
        <v>63</v>
      </c>
      <c r="G811" s="4" t="s">
        <v>14</v>
      </c>
      <c r="H811">
        <v>2108</v>
      </c>
      <c r="I811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s="19">
        <f t="shared" si="50"/>
        <v>41135.208333333336</v>
      </c>
      <c r="O811" s="19">
        <f t="shared" si="51"/>
        <v>41136.208333333336</v>
      </c>
      <c r="P811" t="b">
        <v>0</v>
      </c>
      <c r="Q811" t="b">
        <v>0</v>
      </c>
      <c r="R811" t="s">
        <v>42</v>
      </c>
      <c r="S811" t="s">
        <v>2039</v>
      </c>
      <c r="T811" t="s">
        <v>2040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>
        <f t="shared" si="48"/>
        <v>193</v>
      </c>
      <c r="G812" s="5" t="s">
        <v>20</v>
      </c>
      <c r="H812">
        <v>221</v>
      </c>
      <c r="I812">
        <f t="shared" si="49"/>
        <v>55.93</v>
      </c>
      <c r="J812" t="s">
        <v>21</v>
      </c>
      <c r="K812" t="s">
        <v>22</v>
      </c>
      <c r="L812">
        <v>1511848800</v>
      </c>
      <c r="M812">
        <v>1512712800</v>
      </c>
      <c r="N812" s="19">
        <f t="shared" si="50"/>
        <v>43067.25</v>
      </c>
      <c r="O812" s="19">
        <f t="shared" si="51"/>
        <v>43077.25</v>
      </c>
      <c r="P812" t="b">
        <v>0</v>
      </c>
      <c r="Q812" t="b">
        <v>1</v>
      </c>
      <c r="R812" t="s">
        <v>33</v>
      </c>
      <c r="S812" t="s">
        <v>2037</v>
      </c>
      <c r="T812" t="s">
        <v>2038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>
        <f t="shared" si="48"/>
        <v>77</v>
      </c>
      <c r="G813" s="4" t="s">
        <v>14</v>
      </c>
      <c r="H813">
        <v>679</v>
      </c>
      <c r="I813">
        <f t="shared" si="49"/>
        <v>105.04</v>
      </c>
      <c r="J813" t="s">
        <v>21</v>
      </c>
      <c r="K813" t="s">
        <v>22</v>
      </c>
      <c r="L813">
        <v>1452319200</v>
      </c>
      <c r="M813">
        <v>1452492000</v>
      </c>
      <c r="N813" s="19">
        <f t="shared" si="50"/>
        <v>42378.25</v>
      </c>
      <c r="O813" s="19">
        <f t="shared" si="51"/>
        <v>42380.25</v>
      </c>
      <c r="P813" t="b">
        <v>0</v>
      </c>
      <c r="Q813" t="b">
        <v>1</v>
      </c>
      <c r="R813" t="s">
        <v>89</v>
      </c>
      <c r="S813" t="s">
        <v>2048</v>
      </c>
      <c r="T813" t="s">
        <v>2049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>
        <f t="shared" si="48"/>
        <v>226</v>
      </c>
      <c r="G814" s="5" t="s">
        <v>20</v>
      </c>
      <c r="H814">
        <v>2805</v>
      </c>
      <c r="I814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s="19">
        <f t="shared" si="50"/>
        <v>43206.208333333328</v>
      </c>
      <c r="O814" s="19">
        <f t="shared" si="51"/>
        <v>43211.208333333328</v>
      </c>
      <c r="P814" t="b">
        <v>0</v>
      </c>
      <c r="Q814" t="b">
        <v>0</v>
      </c>
      <c r="R814" t="s">
        <v>68</v>
      </c>
      <c r="S814" t="s">
        <v>2045</v>
      </c>
      <c r="T814" t="s">
        <v>2046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>
        <f t="shared" si="48"/>
        <v>239</v>
      </c>
      <c r="G815" s="5" t="s">
        <v>20</v>
      </c>
      <c r="H815">
        <v>68</v>
      </c>
      <c r="I815">
        <f t="shared" si="49"/>
        <v>112.66</v>
      </c>
      <c r="J815" t="s">
        <v>21</v>
      </c>
      <c r="K815" t="s">
        <v>22</v>
      </c>
      <c r="L815">
        <v>1346043600</v>
      </c>
      <c r="M815">
        <v>1346907600</v>
      </c>
      <c r="N815" s="19">
        <f t="shared" si="50"/>
        <v>41148.208333333336</v>
      </c>
      <c r="O815" s="19">
        <f t="shared" si="51"/>
        <v>41158.208333333336</v>
      </c>
      <c r="P815" t="b">
        <v>0</v>
      </c>
      <c r="Q815" t="b">
        <v>0</v>
      </c>
      <c r="R815" t="s">
        <v>89</v>
      </c>
      <c r="S815" t="s">
        <v>2048</v>
      </c>
      <c r="T815" t="s">
        <v>2049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>
        <f t="shared" si="48"/>
        <v>92</v>
      </c>
      <c r="G816" s="4" t="s">
        <v>14</v>
      </c>
      <c r="H816">
        <v>36</v>
      </c>
      <c r="I816">
        <f t="shared" si="49"/>
        <v>81.94</v>
      </c>
      <c r="J816" t="s">
        <v>36</v>
      </c>
      <c r="K816" t="s">
        <v>37</v>
      </c>
      <c r="L816">
        <v>1464325200</v>
      </c>
      <c r="M816">
        <v>1464498000</v>
      </c>
      <c r="N816" s="19">
        <f t="shared" si="50"/>
        <v>42517.208333333328</v>
      </c>
      <c r="O816" s="19">
        <f t="shared" si="51"/>
        <v>42519.208333333328</v>
      </c>
      <c r="P816" t="b">
        <v>0</v>
      </c>
      <c r="Q816" t="b">
        <v>1</v>
      </c>
      <c r="R816" t="s">
        <v>23</v>
      </c>
      <c r="S816" t="s">
        <v>2033</v>
      </c>
      <c r="T816" t="s">
        <v>2034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>
        <f t="shared" si="48"/>
        <v>130</v>
      </c>
      <c r="G817" s="5" t="s">
        <v>20</v>
      </c>
      <c r="H817">
        <v>183</v>
      </c>
      <c r="I817">
        <f t="shared" si="49"/>
        <v>64.05</v>
      </c>
      <c r="J817" t="s">
        <v>15</v>
      </c>
      <c r="K817" t="s">
        <v>16</v>
      </c>
      <c r="L817">
        <v>1511935200</v>
      </c>
      <c r="M817">
        <v>1514181600</v>
      </c>
      <c r="N817" s="19">
        <f t="shared" si="50"/>
        <v>43068.25</v>
      </c>
      <c r="O817" s="19">
        <f t="shared" si="51"/>
        <v>43094.25</v>
      </c>
      <c r="P817" t="b">
        <v>0</v>
      </c>
      <c r="Q817" t="b">
        <v>0</v>
      </c>
      <c r="R817" t="s">
        <v>23</v>
      </c>
      <c r="S817" t="s">
        <v>2033</v>
      </c>
      <c r="T817" t="s">
        <v>2034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>
        <f t="shared" si="48"/>
        <v>615</v>
      </c>
      <c r="G818" s="5" t="s">
        <v>20</v>
      </c>
      <c r="H818">
        <v>133</v>
      </c>
      <c r="I818">
        <f t="shared" si="49"/>
        <v>106.39</v>
      </c>
      <c r="J818" t="s">
        <v>21</v>
      </c>
      <c r="K818" t="s">
        <v>22</v>
      </c>
      <c r="L818">
        <v>1392012000</v>
      </c>
      <c r="M818">
        <v>1392184800</v>
      </c>
      <c r="N818" s="19">
        <f t="shared" si="50"/>
        <v>41680.25</v>
      </c>
      <c r="O818" s="19">
        <f t="shared" si="51"/>
        <v>41682.25</v>
      </c>
      <c r="P818" t="b">
        <v>1</v>
      </c>
      <c r="Q818" t="b">
        <v>1</v>
      </c>
      <c r="R818" t="s">
        <v>33</v>
      </c>
      <c r="S818" t="s">
        <v>2037</v>
      </c>
      <c r="T818" t="s">
        <v>2038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>
        <f t="shared" si="48"/>
        <v>369</v>
      </c>
      <c r="G819" s="5" t="s">
        <v>20</v>
      </c>
      <c r="H819">
        <v>2489</v>
      </c>
      <c r="I819">
        <f t="shared" si="49"/>
        <v>76.010000000000005</v>
      </c>
      <c r="J819" t="s">
        <v>107</v>
      </c>
      <c r="K819" t="s">
        <v>108</v>
      </c>
      <c r="L819">
        <v>1556946000</v>
      </c>
      <c r="M819">
        <v>1559365200</v>
      </c>
      <c r="N819" s="19">
        <f t="shared" si="50"/>
        <v>43589.208333333328</v>
      </c>
      <c r="O819" s="19">
        <f t="shared" si="51"/>
        <v>43617.208333333328</v>
      </c>
      <c r="P819" t="b">
        <v>0</v>
      </c>
      <c r="Q819" t="b">
        <v>1</v>
      </c>
      <c r="R819" t="s">
        <v>68</v>
      </c>
      <c r="S819" t="s">
        <v>2045</v>
      </c>
      <c r="T819" t="s">
        <v>2046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>
        <f t="shared" si="48"/>
        <v>1095</v>
      </c>
      <c r="G820" s="5" t="s">
        <v>20</v>
      </c>
      <c r="H820">
        <v>69</v>
      </c>
      <c r="I820">
        <f t="shared" si="49"/>
        <v>111.07</v>
      </c>
      <c r="J820" t="s">
        <v>21</v>
      </c>
      <c r="K820" t="s">
        <v>22</v>
      </c>
      <c r="L820">
        <v>1548050400</v>
      </c>
      <c r="M820">
        <v>1549173600</v>
      </c>
      <c r="N820" s="19">
        <f t="shared" si="50"/>
        <v>43486.25</v>
      </c>
      <c r="O820" s="19">
        <f t="shared" si="51"/>
        <v>43499.25</v>
      </c>
      <c r="P820" t="b">
        <v>0</v>
      </c>
      <c r="Q820" t="b">
        <v>1</v>
      </c>
      <c r="R820" t="s">
        <v>33</v>
      </c>
      <c r="S820" t="s">
        <v>2037</v>
      </c>
      <c r="T820" t="s">
        <v>2038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>
        <f t="shared" si="48"/>
        <v>51</v>
      </c>
      <c r="G821" s="4" t="s">
        <v>14</v>
      </c>
      <c r="H821">
        <v>47</v>
      </c>
      <c r="I821">
        <f t="shared" si="49"/>
        <v>95.94</v>
      </c>
      <c r="J821" t="s">
        <v>21</v>
      </c>
      <c r="K821" t="s">
        <v>22</v>
      </c>
      <c r="L821">
        <v>1353736800</v>
      </c>
      <c r="M821">
        <v>1355032800</v>
      </c>
      <c r="N821" s="19">
        <f t="shared" si="50"/>
        <v>41237.25</v>
      </c>
      <c r="O821" s="19">
        <f t="shared" si="51"/>
        <v>41252.25</v>
      </c>
      <c r="P821" t="b">
        <v>1</v>
      </c>
      <c r="Q821" t="b">
        <v>0</v>
      </c>
      <c r="R821" t="s">
        <v>89</v>
      </c>
      <c r="S821" t="s">
        <v>2048</v>
      </c>
      <c r="T821" t="s">
        <v>2049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>
        <f t="shared" si="48"/>
        <v>801</v>
      </c>
      <c r="G822" s="5" t="s">
        <v>20</v>
      </c>
      <c r="H822">
        <v>279</v>
      </c>
      <c r="I822">
        <f t="shared" si="49"/>
        <v>43.04</v>
      </c>
      <c r="J822" t="s">
        <v>40</v>
      </c>
      <c r="K822" t="s">
        <v>41</v>
      </c>
      <c r="L822">
        <v>1532840400</v>
      </c>
      <c r="M822">
        <v>1533963600</v>
      </c>
      <c r="N822" s="19">
        <f t="shared" si="50"/>
        <v>43310.208333333328</v>
      </c>
      <c r="O822" s="19">
        <f t="shared" si="51"/>
        <v>43323.208333333328</v>
      </c>
      <c r="P822" t="b">
        <v>0</v>
      </c>
      <c r="Q822" t="b">
        <v>1</v>
      </c>
      <c r="R822" t="s">
        <v>23</v>
      </c>
      <c r="S822" t="s">
        <v>2033</v>
      </c>
      <c r="T822" t="s">
        <v>2034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>
        <f t="shared" si="48"/>
        <v>291</v>
      </c>
      <c r="G823" s="5" t="s">
        <v>20</v>
      </c>
      <c r="H823">
        <v>210</v>
      </c>
      <c r="I823">
        <f t="shared" si="49"/>
        <v>67.97</v>
      </c>
      <c r="J823" t="s">
        <v>21</v>
      </c>
      <c r="K823" t="s">
        <v>22</v>
      </c>
      <c r="L823">
        <v>1488261600</v>
      </c>
      <c r="M823">
        <v>1489381200</v>
      </c>
      <c r="N823" s="19">
        <f t="shared" si="50"/>
        <v>42794.25</v>
      </c>
      <c r="O823" s="19">
        <f t="shared" si="51"/>
        <v>42807.208333333328</v>
      </c>
      <c r="P823" t="b">
        <v>0</v>
      </c>
      <c r="Q823" t="b">
        <v>0</v>
      </c>
      <c r="R823" t="s">
        <v>42</v>
      </c>
      <c r="S823" t="s">
        <v>2039</v>
      </c>
      <c r="T823" t="s">
        <v>2040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>
        <f t="shared" si="48"/>
        <v>350</v>
      </c>
      <c r="G824" s="5" t="s">
        <v>20</v>
      </c>
      <c r="H824">
        <v>2100</v>
      </c>
      <c r="I824">
        <f t="shared" si="49"/>
        <v>89.99</v>
      </c>
      <c r="J824" t="s">
        <v>21</v>
      </c>
      <c r="K824" t="s">
        <v>22</v>
      </c>
      <c r="L824">
        <v>1393567200</v>
      </c>
      <c r="M824">
        <v>1395032400</v>
      </c>
      <c r="N824" s="19">
        <f t="shared" si="50"/>
        <v>41698.25</v>
      </c>
      <c r="O824" s="19">
        <f t="shared" si="51"/>
        <v>41715.208333333336</v>
      </c>
      <c r="P824" t="b">
        <v>0</v>
      </c>
      <c r="Q824" t="b">
        <v>0</v>
      </c>
      <c r="R824" t="s">
        <v>23</v>
      </c>
      <c r="S824" t="s">
        <v>2033</v>
      </c>
      <c r="T824" t="s">
        <v>2034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>
        <f t="shared" si="48"/>
        <v>357</v>
      </c>
      <c r="G825" s="5" t="s">
        <v>20</v>
      </c>
      <c r="H825">
        <v>252</v>
      </c>
      <c r="I825">
        <f t="shared" si="49"/>
        <v>58.1</v>
      </c>
      <c r="J825" t="s">
        <v>21</v>
      </c>
      <c r="K825" t="s">
        <v>22</v>
      </c>
      <c r="L825">
        <v>1410325200</v>
      </c>
      <c r="M825">
        <v>1412485200</v>
      </c>
      <c r="N825" s="19">
        <f t="shared" si="50"/>
        <v>41892.208333333336</v>
      </c>
      <c r="O825" s="19">
        <f t="shared" si="51"/>
        <v>41917.208333333336</v>
      </c>
      <c r="P825" t="b">
        <v>1</v>
      </c>
      <c r="Q825" t="b">
        <v>1</v>
      </c>
      <c r="R825" t="s">
        <v>23</v>
      </c>
      <c r="S825" t="s">
        <v>2033</v>
      </c>
      <c r="T825" t="s">
        <v>2034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>
        <f t="shared" si="48"/>
        <v>126</v>
      </c>
      <c r="G826" s="5" t="s">
        <v>20</v>
      </c>
      <c r="H826">
        <v>1280</v>
      </c>
      <c r="I826">
        <f t="shared" si="49"/>
        <v>84</v>
      </c>
      <c r="J826" t="s">
        <v>21</v>
      </c>
      <c r="K826" t="s">
        <v>22</v>
      </c>
      <c r="L826">
        <v>1276923600</v>
      </c>
      <c r="M826">
        <v>1279688400</v>
      </c>
      <c r="N826" s="19">
        <f t="shared" si="50"/>
        <v>40348.208333333336</v>
      </c>
      <c r="O826" s="19">
        <f t="shared" si="51"/>
        <v>40380.208333333336</v>
      </c>
      <c r="P826" t="b">
        <v>0</v>
      </c>
      <c r="Q826" t="b">
        <v>1</v>
      </c>
      <c r="R826" t="s">
        <v>68</v>
      </c>
      <c r="S826" t="s">
        <v>2045</v>
      </c>
      <c r="T826" t="s">
        <v>2046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>
        <f t="shared" si="48"/>
        <v>388</v>
      </c>
      <c r="G827" s="5" t="s">
        <v>20</v>
      </c>
      <c r="H827">
        <v>157</v>
      </c>
      <c r="I827">
        <f t="shared" si="49"/>
        <v>88.85</v>
      </c>
      <c r="J827" t="s">
        <v>40</v>
      </c>
      <c r="K827" t="s">
        <v>41</v>
      </c>
      <c r="L827">
        <v>1500958800</v>
      </c>
      <c r="M827">
        <v>1501995600</v>
      </c>
      <c r="N827" s="19">
        <f t="shared" si="50"/>
        <v>42941.208333333328</v>
      </c>
      <c r="O827" s="19">
        <f t="shared" si="51"/>
        <v>42953.208333333328</v>
      </c>
      <c r="P827" t="b">
        <v>0</v>
      </c>
      <c r="Q827" t="b">
        <v>0</v>
      </c>
      <c r="R827" t="s">
        <v>100</v>
      </c>
      <c r="S827" t="s">
        <v>2039</v>
      </c>
      <c r="T827" t="s">
        <v>2050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>
        <f t="shared" si="48"/>
        <v>457</v>
      </c>
      <c r="G828" s="5" t="s">
        <v>20</v>
      </c>
      <c r="H828">
        <v>194</v>
      </c>
      <c r="I828">
        <f t="shared" si="49"/>
        <v>65.959999999999994</v>
      </c>
      <c r="J828" t="s">
        <v>21</v>
      </c>
      <c r="K828" t="s">
        <v>22</v>
      </c>
      <c r="L828">
        <v>1292220000</v>
      </c>
      <c r="M828">
        <v>1294639200</v>
      </c>
      <c r="N828" s="19">
        <f t="shared" si="50"/>
        <v>40525.25</v>
      </c>
      <c r="O828" s="19">
        <f t="shared" si="51"/>
        <v>40553.25</v>
      </c>
      <c r="P828" t="b">
        <v>0</v>
      </c>
      <c r="Q828" t="b">
        <v>1</v>
      </c>
      <c r="R828" t="s">
        <v>33</v>
      </c>
      <c r="S828" t="s">
        <v>2037</v>
      </c>
      <c r="T828" t="s">
        <v>2038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>
        <f t="shared" si="48"/>
        <v>267</v>
      </c>
      <c r="G829" s="5" t="s">
        <v>20</v>
      </c>
      <c r="H829">
        <v>82</v>
      </c>
      <c r="I829">
        <f t="shared" si="49"/>
        <v>74.8</v>
      </c>
      <c r="J829" t="s">
        <v>26</v>
      </c>
      <c r="K829" t="s">
        <v>27</v>
      </c>
      <c r="L829">
        <v>1304398800</v>
      </c>
      <c r="M829">
        <v>1305435600</v>
      </c>
      <c r="N829" s="19">
        <f t="shared" si="50"/>
        <v>40666.208333333336</v>
      </c>
      <c r="O829" s="19">
        <f t="shared" si="51"/>
        <v>40678.208333333336</v>
      </c>
      <c r="P829" t="b">
        <v>0</v>
      </c>
      <c r="Q829" t="b">
        <v>1</v>
      </c>
      <c r="R829" t="s">
        <v>53</v>
      </c>
      <c r="S829" t="s">
        <v>2039</v>
      </c>
      <c r="T829" t="s">
        <v>2042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>
        <f t="shared" si="48"/>
        <v>69</v>
      </c>
      <c r="G830" s="4" t="s">
        <v>14</v>
      </c>
      <c r="H830">
        <v>70</v>
      </c>
      <c r="I830">
        <f t="shared" si="49"/>
        <v>69.989999999999995</v>
      </c>
      <c r="J830" t="s">
        <v>21</v>
      </c>
      <c r="K830" t="s">
        <v>22</v>
      </c>
      <c r="L830">
        <v>1535432400</v>
      </c>
      <c r="M830">
        <v>1537592400</v>
      </c>
      <c r="N830" s="19">
        <f t="shared" si="50"/>
        <v>43340.208333333328</v>
      </c>
      <c r="O830" s="19">
        <f t="shared" si="51"/>
        <v>43365.208333333328</v>
      </c>
      <c r="P830" t="b">
        <v>0</v>
      </c>
      <c r="Q830" t="b">
        <v>0</v>
      </c>
      <c r="R830" t="s">
        <v>33</v>
      </c>
      <c r="S830" t="s">
        <v>2037</v>
      </c>
      <c r="T830" t="s">
        <v>2038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>
        <f t="shared" si="48"/>
        <v>51</v>
      </c>
      <c r="G831" s="4" t="s">
        <v>14</v>
      </c>
      <c r="H831">
        <v>154</v>
      </c>
      <c r="I831">
        <f t="shared" si="49"/>
        <v>32.01</v>
      </c>
      <c r="J831" t="s">
        <v>21</v>
      </c>
      <c r="K831" t="s">
        <v>22</v>
      </c>
      <c r="L831">
        <v>1433826000</v>
      </c>
      <c r="M831">
        <v>1435122000</v>
      </c>
      <c r="N831" s="19">
        <f t="shared" si="50"/>
        <v>42164.208333333328</v>
      </c>
      <c r="O831" s="19">
        <f t="shared" si="51"/>
        <v>42179.208333333328</v>
      </c>
      <c r="P831" t="b">
        <v>0</v>
      </c>
      <c r="Q831" t="b">
        <v>0</v>
      </c>
      <c r="R831" t="s">
        <v>33</v>
      </c>
      <c r="S831" t="s">
        <v>2037</v>
      </c>
      <c r="T831" t="s">
        <v>2038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>
        <f t="shared" si="48"/>
        <v>1</v>
      </c>
      <c r="G832" s="4" t="s">
        <v>14</v>
      </c>
      <c r="H832">
        <v>22</v>
      </c>
      <c r="I832">
        <f t="shared" si="49"/>
        <v>64.73</v>
      </c>
      <c r="J832" t="s">
        <v>21</v>
      </c>
      <c r="K832" t="s">
        <v>22</v>
      </c>
      <c r="L832">
        <v>1514959200</v>
      </c>
      <c r="M832">
        <v>1520056800</v>
      </c>
      <c r="N832" s="19">
        <f t="shared" si="50"/>
        <v>43103.25</v>
      </c>
      <c r="O832" s="19">
        <f t="shared" si="51"/>
        <v>43162.25</v>
      </c>
      <c r="P832" t="b">
        <v>0</v>
      </c>
      <c r="Q832" t="b">
        <v>0</v>
      </c>
      <c r="R832" t="s">
        <v>33</v>
      </c>
      <c r="S832" t="s">
        <v>2037</v>
      </c>
      <c r="T832" t="s">
        <v>2038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>
        <f t="shared" si="48"/>
        <v>109</v>
      </c>
      <c r="G833" s="5" t="s">
        <v>20</v>
      </c>
      <c r="H833">
        <v>4233</v>
      </c>
      <c r="I833">
        <f t="shared" si="49"/>
        <v>25</v>
      </c>
      <c r="J833" t="s">
        <v>21</v>
      </c>
      <c r="K833" t="s">
        <v>22</v>
      </c>
      <c r="L833">
        <v>1332738000</v>
      </c>
      <c r="M833">
        <v>1335675600</v>
      </c>
      <c r="N833" s="19">
        <f t="shared" si="50"/>
        <v>40994.208333333336</v>
      </c>
      <c r="O833" s="19">
        <f t="shared" si="51"/>
        <v>41028.208333333336</v>
      </c>
      <c r="P833" t="b">
        <v>0</v>
      </c>
      <c r="Q833" t="b">
        <v>0</v>
      </c>
      <c r="R833" t="s">
        <v>122</v>
      </c>
      <c r="S833" t="s">
        <v>2052</v>
      </c>
      <c r="T833" t="s">
        <v>2053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>
        <f t="shared" si="48"/>
        <v>315</v>
      </c>
      <c r="G834" s="5" t="s">
        <v>20</v>
      </c>
      <c r="H834">
        <v>1297</v>
      </c>
      <c r="I834">
        <f t="shared" si="49"/>
        <v>104.98</v>
      </c>
      <c r="J834" t="s">
        <v>36</v>
      </c>
      <c r="K834" t="s">
        <v>37</v>
      </c>
      <c r="L834">
        <v>1445490000</v>
      </c>
      <c r="M834">
        <v>1448431200</v>
      </c>
      <c r="N834" s="19">
        <f t="shared" si="50"/>
        <v>42299.208333333328</v>
      </c>
      <c r="O834" s="19">
        <f t="shared" si="51"/>
        <v>42333.25</v>
      </c>
      <c r="P834" t="b">
        <v>1</v>
      </c>
      <c r="Q834" t="b">
        <v>0</v>
      </c>
      <c r="R834" t="s">
        <v>206</v>
      </c>
      <c r="S834" t="s">
        <v>2045</v>
      </c>
      <c r="T834" t="s">
        <v>2057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>
        <f t="shared" ref="F835:F898" si="52">ROUND(E835/D835*100,0)</f>
        <v>158</v>
      </c>
      <c r="G835" s="5" t="s">
        <v>20</v>
      </c>
      <c r="H835">
        <v>165</v>
      </c>
      <c r="I835">
        <f t="shared" ref="I835:I898" si="53">ROUND(E835/H835,2)</f>
        <v>64.989999999999995</v>
      </c>
      <c r="J835" t="s">
        <v>36</v>
      </c>
      <c r="K835" t="s">
        <v>37</v>
      </c>
      <c r="L835">
        <v>1297663200</v>
      </c>
      <c r="M835">
        <v>1298613600</v>
      </c>
      <c r="N835" s="19">
        <f t="shared" ref="N835:N898" si="54">(((L835/60)/60)/24)+DATE(1970,1,1)</f>
        <v>40588.25</v>
      </c>
      <c r="O835" s="19">
        <f t="shared" ref="O835:O898" si="55">(((M835/60)/60)/24)+DATE(1970,1,1)</f>
        <v>40599.25</v>
      </c>
      <c r="P835" t="b">
        <v>0</v>
      </c>
      <c r="Q835" t="b">
        <v>0</v>
      </c>
      <c r="R835" t="s">
        <v>206</v>
      </c>
      <c r="S835" t="s">
        <v>2045</v>
      </c>
      <c r="T835" t="s">
        <v>2057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>
        <f t="shared" si="52"/>
        <v>154</v>
      </c>
      <c r="G836" s="5" t="s">
        <v>20</v>
      </c>
      <c r="H836">
        <v>119</v>
      </c>
      <c r="I836">
        <f t="shared" si="53"/>
        <v>94.35</v>
      </c>
      <c r="J836" t="s">
        <v>21</v>
      </c>
      <c r="K836" t="s">
        <v>22</v>
      </c>
      <c r="L836">
        <v>1371963600</v>
      </c>
      <c r="M836">
        <v>1372482000</v>
      </c>
      <c r="N836" s="19">
        <f t="shared" si="54"/>
        <v>41448.208333333336</v>
      </c>
      <c r="O836" s="19">
        <f t="shared" si="55"/>
        <v>41454.208333333336</v>
      </c>
      <c r="P836" t="b">
        <v>0</v>
      </c>
      <c r="Q836" t="b">
        <v>0</v>
      </c>
      <c r="R836" t="s">
        <v>33</v>
      </c>
      <c r="S836" t="s">
        <v>2037</v>
      </c>
      <c r="T836" t="s">
        <v>2038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>
        <f t="shared" si="52"/>
        <v>90</v>
      </c>
      <c r="G837" s="4" t="s">
        <v>14</v>
      </c>
      <c r="H837">
        <v>1758</v>
      </c>
      <c r="I837">
        <f t="shared" si="53"/>
        <v>44</v>
      </c>
      <c r="J837" t="s">
        <v>21</v>
      </c>
      <c r="K837" t="s">
        <v>22</v>
      </c>
      <c r="L837">
        <v>1425103200</v>
      </c>
      <c r="M837">
        <v>1425621600</v>
      </c>
      <c r="N837" s="19">
        <f t="shared" si="54"/>
        <v>42063.25</v>
      </c>
      <c r="O837" s="19">
        <f t="shared" si="55"/>
        <v>42069.25</v>
      </c>
      <c r="P837" t="b">
        <v>0</v>
      </c>
      <c r="Q837" t="b">
        <v>0</v>
      </c>
      <c r="R837" t="s">
        <v>28</v>
      </c>
      <c r="S837" t="s">
        <v>2035</v>
      </c>
      <c r="T837" t="s">
        <v>2036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>
        <f t="shared" si="52"/>
        <v>75</v>
      </c>
      <c r="G838" s="4" t="s">
        <v>14</v>
      </c>
      <c r="H838">
        <v>94</v>
      </c>
      <c r="I838">
        <f t="shared" si="53"/>
        <v>64.739999999999995</v>
      </c>
      <c r="J838" t="s">
        <v>21</v>
      </c>
      <c r="K838" t="s">
        <v>22</v>
      </c>
      <c r="L838">
        <v>1265349600</v>
      </c>
      <c r="M838">
        <v>1266300000</v>
      </c>
      <c r="N838" s="19">
        <f t="shared" si="54"/>
        <v>40214.25</v>
      </c>
      <c r="O838" s="19">
        <f t="shared" si="55"/>
        <v>40225.25</v>
      </c>
      <c r="P838" t="b">
        <v>0</v>
      </c>
      <c r="Q838" t="b">
        <v>0</v>
      </c>
      <c r="R838" t="s">
        <v>60</v>
      </c>
      <c r="S838" t="s">
        <v>2033</v>
      </c>
      <c r="T838" t="s">
        <v>2043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>
        <f t="shared" si="52"/>
        <v>853</v>
      </c>
      <c r="G839" s="5" t="s">
        <v>20</v>
      </c>
      <c r="H839">
        <v>1797</v>
      </c>
      <c r="I839">
        <f t="shared" si="53"/>
        <v>84.01</v>
      </c>
      <c r="J839" t="s">
        <v>21</v>
      </c>
      <c r="K839" t="s">
        <v>22</v>
      </c>
      <c r="L839">
        <v>1301202000</v>
      </c>
      <c r="M839">
        <v>1305867600</v>
      </c>
      <c r="N839" s="19">
        <f t="shared" si="54"/>
        <v>40629.208333333336</v>
      </c>
      <c r="O839" s="19">
        <f t="shared" si="55"/>
        <v>40683.208333333336</v>
      </c>
      <c r="P839" t="b">
        <v>0</v>
      </c>
      <c r="Q839" t="b">
        <v>0</v>
      </c>
      <c r="R839" t="s">
        <v>159</v>
      </c>
      <c r="S839" t="s">
        <v>2033</v>
      </c>
      <c r="T839" t="s">
        <v>2056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>
        <f t="shared" si="52"/>
        <v>139</v>
      </c>
      <c r="G840" s="5" t="s">
        <v>20</v>
      </c>
      <c r="H840">
        <v>261</v>
      </c>
      <c r="I840">
        <f t="shared" si="53"/>
        <v>34.06</v>
      </c>
      <c r="J840" t="s">
        <v>21</v>
      </c>
      <c r="K840" t="s">
        <v>22</v>
      </c>
      <c r="L840">
        <v>1538024400</v>
      </c>
      <c r="M840">
        <v>1538802000</v>
      </c>
      <c r="N840" s="19">
        <f t="shared" si="54"/>
        <v>43370.208333333328</v>
      </c>
      <c r="O840" s="19">
        <f t="shared" si="55"/>
        <v>43379.208333333328</v>
      </c>
      <c r="P840" t="b">
        <v>0</v>
      </c>
      <c r="Q840" t="b">
        <v>0</v>
      </c>
      <c r="R840" t="s">
        <v>33</v>
      </c>
      <c r="S840" t="s">
        <v>2037</v>
      </c>
      <c r="T840" t="s">
        <v>2038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>
        <f t="shared" si="52"/>
        <v>190</v>
      </c>
      <c r="G841" s="5" t="s">
        <v>20</v>
      </c>
      <c r="H841">
        <v>157</v>
      </c>
      <c r="I841">
        <f t="shared" si="53"/>
        <v>93.27</v>
      </c>
      <c r="J841" t="s">
        <v>21</v>
      </c>
      <c r="K841" t="s">
        <v>22</v>
      </c>
      <c r="L841">
        <v>1395032400</v>
      </c>
      <c r="M841">
        <v>1398920400</v>
      </c>
      <c r="N841" s="19">
        <f t="shared" si="54"/>
        <v>41715.208333333336</v>
      </c>
      <c r="O841" s="19">
        <f t="shared" si="55"/>
        <v>41760.208333333336</v>
      </c>
      <c r="P841" t="b">
        <v>0</v>
      </c>
      <c r="Q841" t="b">
        <v>1</v>
      </c>
      <c r="R841" t="s">
        <v>42</v>
      </c>
      <c r="S841" t="s">
        <v>2039</v>
      </c>
      <c r="T841" t="s">
        <v>2040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>
        <f t="shared" si="52"/>
        <v>100</v>
      </c>
      <c r="G842" s="5" t="s">
        <v>20</v>
      </c>
      <c r="H842">
        <v>3533</v>
      </c>
      <c r="I842">
        <f t="shared" si="53"/>
        <v>33</v>
      </c>
      <c r="J842" t="s">
        <v>21</v>
      </c>
      <c r="K842" t="s">
        <v>22</v>
      </c>
      <c r="L842">
        <v>1405486800</v>
      </c>
      <c r="M842">
        <v>1405659600</v>
      </c>
      <c r="N842" s="19">
        <f t="shared" si="54"/>
        <v>41836.208333333336</v>
      </c>
      <c r="O842" s="19">
        <f t="shared" si="55"/>
        <v>41838.208333333336</v>
      </c>
      <c r="P842" t="b">
        <v>0</v>
      </c>
      <c r="Q842" t="b">
        <v>1</v>
      </c>
      <c r="R842" t="s">
        <v>33</v>
      </c>
      <c r="S842" t="s">
        <v>2037</v>
      </c>
      <c r="T842" t="s">
        <v>2038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>
        <f t="shared" si="52"/>
        <v>143</v>
      </c>
      <c r="G843" s="5" t="s">
        <v>20</v>
      </c>
      <c r="H843">
        <v>155</v>
      </c>
      <c r="I843">
        <f t="shared" si="53"/>
        <v>83.81</v>
      </c>
      <c r="J843" t="s">
        <v>21</v>
      </c>
      <c r="K843" t="s">
        <v>22</v>
      </c>
      <c r="L843">
        <v>1455861600</v>
      </c>
      <c r="M843">
        <v>1457244000</v>
      </c>
      <c r="N843" s="19">
        <f t="shared" si="54"/>
        <v>42419.25</v>
      </c>
      <c r="O843" s="19">
        <f t="shared" si="55"/>
        <v>42435.25</v>
      </c>
      <c r="P843" t="b">
        <v>0</v>
      </c>
      <c r="Q843" t="b">
        <v>0</v>
      </c>
      <c r="R843" t="s">
        <v>28</v>
      </c>
      <c r="S843" t="s">
        <v>2035</v>
      </c>
      <c r="T843" t="s">
        <v>2036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>
        <f t="shared" si="52"/>
        <v>563</v>
      </c>
      <c r="G844" s="5" t="s">
        <v>20</v>
      </c>
      <c r="H844">
        <v>132</v>
      </c>
      <c r="I844">
        <f t="shared" si="53"/>
        <v>63.99</v>
      </c>
      <c r="J844" t="s">
        <v>107</v>
      </c>
      <c r="K844" t="s">
        <v>108</v>
      </c>
      <c r="L844">
        <v>1529038800</v>
      </c>
      <c r="M844">
        <v>1529298000</v>
      </c>
      <c r="N844" s="19">
        <f t="shared" si="54"/>
        <v>43266.208333333328</v>
      </c>
      <c r="O844" s="19">
        <f t="shared" si="55"/>
        <v>43269.208333333328</v>
      </c>
      <c r="P844" t="b">
        <v>0</v>
      </c>
      <c r="Q844" t="b">
        <v>0</v>
      </c>
      <c r="R844" t="s">
        <v>65</v>
      </c>
      <c r="S844" t="s">
        <v>2035</v>
      </c>
      <c r="T844" t="s">
        <v>2044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>
        <f t="shared" si="52"/>
        <v>31</v>
      </c>
      <c r="G845" s="4" t="s">
        <v>14</v>
      </c>
      <c r="H845">
        <v>33</v>
      </c>
      <c r="I845">
        <f t="shared" si="53"/>
        <v>81.91</v>
      </c>
      <c r="J845" t="s">
        <v>21</v>
      </c>
      <c r="K845" t="s">
        <v>22</v>
      </c>
      <c r="L845">
        <v>1535259600</v>
      </c>
      <c r="M845">
        <v>1535778000</v>
      </c>
      <c r="N845" s="19">
        <f t="shared" si="54"/>
        <v>43338.208333333328</v>
      </c>
      <c r="O845" s="19">
        <f t="shared" si="55"/>
        <v>43344.208333333328</v>
      </c>
      <c r="P845" t="b">
        <v>0</v>
      </c>
      <c r="Q845" t="b">
        <v>0</v>
      </c>
      <c r="R845" t="s">
        <v>122</v>
      </c>
      <c r="S845" t="s">
        <v>2052</v>
      </c>
      <c r="T845" t="s">
        <v>2053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>
        <f t="shared" si="52"/>
        <v>99</v>
      </c>
      <c r="G846" s="7" t="s">
        <v>74</v>
      </c>
      <c r="H846">
        <v>94</v>
      </c>
      <c r="I846">
        <f t="shared" si="53"/>
        <v>93.05</v>
      </c>
      <c r="J846" t="s">
        <v>21</v>
      </c>
      <c r="K846" t="s">
        <v>22</v>
      </c>
      <c r="L846">
        <v>1327212000</v>
      </c>
      <c r="M846">
        <v>1327471200</v>
      </c>
      <c r="N846" s="19">
        <f t="shared" si="54"/>
        <v>40930.25</v>
      </c>
      <c r="O846" s="19">
        <f t="shared" si="55"/>
        <v>40933.25</v>
      </c>
      <c r="P846" t="b">
        <v>0</v>
      </c>
      <c r="Q846" t="b">
        <v>0</v>
      </c>
      <c r="R846" t="s">
        <v>42</v>
      </c>
      <c r="S846" t="s">
        <v>2039</v>
      </c>
      <c r="T846" t="s">
        <v>2040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>
        <f t="shared" si="52"/>
        <v>198</v>
      </c>
      <c r="G847" s="5" t="s">
        <v>20</v>
      </c>
      <c r="H847">
        <v>1354</v>
      </c>
      <c r="I847">
        <f t="shared" si="53"/>
        <v>101.98</v>
      </c>
      <c r="J847" t="s">
        <v>40</v>
      </c>
      <c r="K847" t="s">
        <v>41</v>
      </c>
      <c r="L847">
        <v>1526360400</v>
      </c>
      <c r="M847">
        <v>1529557200</v>
      </c>
      <c r="N847" s="19">
        <f t="shared" si="54"/>
        <v>43235.208333333328</v>
      </c>
      <c r="O847" s="19">
        <f t="shared" si="55"/>
        <v>43272.208333333328</v>
      </c>
      <c r="P847" t="b">
        <v>0</v>
      </c>
      <c r="Q847" t="b">
        <v>0</v>
      </c>
      <c r="R847" t="s">
        <v>28</v>
      </c>
      <c r="S847" t="s">
        <v>2035</v>
      </c>
      <c r="T847" t="s">
        <v>2036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>
        <f t="shared" si="52"/>
        <v>509</v>
      </c>
      <c r="G848" s="5" t="s">
        <v>20</v>
      </c>
      <c r="H848">
        <v>48</v>
      </c>
      <c r="I848">
        <f t="shared" si="53"/>
        <v>105.94</v>
      </c>
      <c r="J848" t="s">
        <v>21</v>
      </c>
      <c r="K848" t="s">
        <v>22</v>
      </c>
      <c r="L848">
        <v>1532149200</v>
      </c>
      <c r="M848">
        <v>1535259600</v>
      </c>
      <c r="N848" s="19">
        <f t="shared" si="54"/>
        <v>43302.208333333328</v>
      </c>
      <c r="O848" s="19">
        <f t="shared" si="55"/>
        <v>43338.208333333328</v>
      </c>
      <c r="P848" t="b">
        <v>1</v>
      </c>
      <c r="Q848" t="b">
        <v>1</v>
      </c>
      <c r="R848" t="s">
        <v>28</v>
      </c>
      <c r="S848" t="s">
        <v>2035</v>
      </c>
      <c r="T848" t="s">
        <v>2036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>
        <f t="shared" si="52"/>
        <v>238</v>
      </c>
      <c r="G849" s="5" t="s">
        <v>20</v>
      </c>
      <c r="H849">
        <v>110</v>
      </c>
      <c r="I849">
        <f t="shared" si="53"/>
        <v>101.58</v>
      </c>
      <c r="J849" t="s">
        <v>21</v>
      </c>
      <c r="K849" t="s">
        <v>22</v>
      </c>
      <c r="L849">
        <v>1515304800</v>
      </c>
      <c r="M849">
        <v>1515564000</v>
      </c>
      <c r="N849" s="19">
        <f t="shared" si="54"/>
        <v>43107.25</v>
      </c>
      <c r="O849" s="19">
        <f t="shared" si="55"/>
        <v>43110.25</v>
      </c>
      <c r="P849" t="b">
        <v>0</v>
      </c>
      <c r="Q849" t="b">
        <v>0</v>
      </c>
      <c r="R849" t="s">
        <v>17</v>
      </c>
      <c r="S849" t="s">
        <v>2031</v>
      </c>
      <c r="T849" t="s">
        <v>2032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>
        <f t="shared" si="52"/>
        <v>338</v>
      </c>
      <c r="G850" s="5" t="s">
        <v>20</v>
      </c>
      <c r="H850">
        <v>172</v>
      </c>
      <c r="I850">
        <f t="shared" si="53"/>
        <v>62.97</v>
      </c>
      <c r="J850" t="s">
        <v>21</v>
      </c>
      <c r="K850" t="s">
        <v>22</v>
      </c>
      <c r="L850">
        <v>1276318800</v>
      </c>
      <c r="M850">
        <v>1277096400</v>
      </c>
      <c r="N850" s="19">
        <f t="shared" si="54"/>
        <v>40341.208333333336</v>
      </c>
      <c r="O850" s="19">
        <f t="shared" si="55"/>
        <v>40350.208333333336</v>
      </c>
      <c r="P850" t="b">
        <v>0</v>
      </c>
      <c r="Q850" t="b">
        <v>0</v>
      </c>
      <c r="R850" t="s">
        <v>53</v>
      </c>
      <c r="S850" t="s">
        <v>2039</v>
      </c>
      <c r="T850" t="s">
        <v>2042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>
        <f t="shared" si="52"/>
        <v>133</v>
      </c>
      <c r="G851" s="5" t="s">
        <v>20</v>
      </c>
      <c r="H851">
        <v>307</v>
      </c>
      <c r="I851">
        <f t="shared" si="53"/>
        <v>29.05</v>
      </c>
      <c r="J851" t="s">
        <v>21</v>
      </c>
      <c r="K851" t="s">
        <v>22</v>
      </c>
      <c r="L851">
        <v>1328767200</v>
      </c>
      <c r="M851">
        <v>1329026400</v>
      </c>
      <c r="N851" s="19">
        <f t="shared" si="54"/>
        <v>40948.25</v>
      </c>
      <c r="O851" s="19">
        <f t="shared" si="55"/>
        <v>40951.25</v>
      </c>
      <c r="P851" t="b">
        <v>0</v>
      </c>
      <c r="Q851" t="b">
        <v>1</v>
      </c>
      <c r="R851" t="s">
        <v>60</v>
      </c>
      <c r="S851" t="s">
        <v>2033</v>
      </c>
      <c r="T851" t="s">
        <v>2043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>
        <f t="shared" si="52"/>
        <v>1</v>
      </c>
      <c r="G852" s="4" t="s">
        <v>14</v>
      </c>
      <c r="H852">
        <v>1</v>
      </c>
      <c r="I852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s="19">
        <f t="shared" si="54"/>
        <v>40866.25</v>
      </c>
      <c r="O852" s="19">
        <f t="shared" si="55"/>
        <v>40881.25</v>
      </c>
      <c r="P852" t="b">
        <v>1</v>
      </c>
      <c r="Q852" t="b">
        <v>0</v>
      </c>
      <c r="R852" t="s">
        <v>23</v>
      </c>
      <c r="S852" t="s">
        <v>2033</v>
      </c>
      <c r="T852" t="s">
        <v>2034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>
        <f t="shared" si="52"/>
        <v>208</v>
      </c>
      <c r="G853" s="5" t="s">
        <v>20</v>
      </c>
      <c r="H853">
        <v>160</v>
      </c>
      <c r="I853">
        <f t="shared" si="53"/>
        <v>77.930000000000007</v>
      </c>
      <c r="J853" t="s">
        <v>21</v>
      </c>
      <c r="K853" t="s">
        <v>22</v>
      </c>
      <c r="L853">
        <v>1335934800</v>
      </c>
      <c r="M853">
        <v>1338786000</v>
      </c>
      <c r="N853" s="19">
        <f t="shared" si="54"/>
        <v>41031.208333333336</v>
      </c>
      <c r="O853" s="19">
        <f t="shared" si="55"/>
        <v>41064.208333333336</v>
      </c>
      <c r="P853" t="b">
        <v>0</v>
      </c>
      <c r="Q853" t="b">
        <v>0</v>
      </c>
      <c r="R853" t="s">
        <v>50</v>
      </c>
      <c r="S853" t="s">
        <v>2033</v>
      </c>
      <c r="T853" t="s">
        <v>2041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>
        <f t="shared" si="52"/>
        <v>51</v>
      </c>
      <c r="G854" s="4" t="s">
        <v>14</v>
      </c>
      <c r="H854">
        <v>31</v>
      </c>
      <c r="I854">
        <f t="shared" si="53"/>
        <v>80.81</v>
      </c>
      <c r="J854" t="s">
        <v>21</v>
      </c>
      <c r="K854" t="s">
        <v>22</v>
      </c>
      <c r="L854">
        <v>1310792400</v>
      </c>
      <c r="M854">
        <v>1311656400</v>
      </c>
      <c r="N854" s="19">
        <f t="shared" si="54"/>
        <v>40740.208333333336</v>
      </c>
      <c r="O854" s="19">
        <f t="shared" si="55"/>
        <v>40750.208333333336</v>
      </c>
      <c r="P854" t="b">
        <v>0</v>
      </c>
      <c r="Q854" t="b">
        <v>1</v>
      </c>
      <c r="R854" t="s">
        <v>89</v>
      </c>
      <c r="S854" t="s">
        <v>2048</v>
      </c>
      <c r="T854" t="s">
        <v>2049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>
        <f t="shared" si="52"/>
        <v>652</v>
      </c>
      <c r="G855" s="5" t="s">
        <v>20</v>
      </c>
      <c r="H855">
        <v>1467</v>
      </c>
      <c r="I855">
        <f t="shared" si="53"/>
        <v>76.010000000000005</v>
      </c>
      <c r="J855" t="s">
        <v>15</v>
      </c>
      <c r="K855" t="s">
        <v>16</v>
      </c>
      <c r="L855">
        <v>1308546000</v>
      </c>
      <c r="M855">
        <v>1308978000</v>
      </c>
      <c r="N855" s="19">
        <f t="shared" si="54"/>
        <v>40714.208333333336</v>
      </c>
      <c r="O855" s="19">
        <f t="shared" si="55"/>
        <v>40719.208333333336</v>
      </c>
      <c r="P855" t="b">
        <v>0</v>
      </c>
      <c r="Q855" t="b">
        <v>1</v>
      </c>
      <c r="R855" t="s">
        <v>60</v>
      </c>
      <c r="S855" t="s">
        <v>2033</v>
      </c>
      <c r="T855" t="s">
        <v>2043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>
        <f t="shared" si="52"/>
        <v>114</v>
      </c>
      <c r="G856" s="5" t="s">
        <v>20</v>
      </c>
      <c r="H856">
        <v>2662</v>
      </c>
      <c r="I856">
        <f t="shared" si="53"/>
        <v>72.989999999999995</v>
      </c>
      <c r="J856" t="s">
        <v>15</v>
      </c>
      <c r="K856" t="s">
        <v>16</v>
      </c>
      <c r="L856">
        <v>1574056800</v>
      </c>
      <c r="M856">
        <v>1576389600</v>
      </c>
      <c r="N856" s="19">
        <f t="shared" si="54"/>
        <v>43787.25</v>
      </c>
      <c r="O856" s="19">
        <f t="shared" si="55"/>
        <v>43814.25</v>
      </c>
      <c r="P856" t="b">
        <v>0</v>
      </c>
      <c r="Q856" t="b">
        <v>0</v>
      </c>
      <c r="R856" t="s">
        <v>119</v>
      </c>
      <c r="S856" t="s">
        <v>2045</v>
      </c>
      <c r="T856" t="s">
        <v>2051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>
        <f t="shared" si="52"/>
        <v>102</v>
      </c>
      <c r="G857" s="5" t="s">
        <v>20</v>
      </c>
      <c r="H857">
        <v>452</v>
      </c>
      <c r="I857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s="19">
        <f t="shared" si="54"/>
        <v>40712.208333333336</v>
      </c>
      <c r="O857" s="19">
        <f t="shared" si="55"/>
        <v>40743.208333333336</v>
      </c>
      <c r="P857" t="b">
        <v>0</v>
      </c>
      <c r="Q857" t="b">
        <v>0</v>
      </c>
      <c r="R857" t="s">
        <v>33</v>
      </c>
      <c r="S857" t="s">
        <v>2037</v>
      </c>
      <c r="T857" t="s">
        <v>2038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>
        <f t="shared" si="52"/>
        <v>357</v>
      </c>
      <c r="G858" s="5" t="s">
        <v>20</v>
      </c>
      <c r="H858">
        <v>158</v>
      </c>
      <c r="I858">
        <f t="shared" si="53"/>
        <v>54.16</v>
      </c>
      <c r="J858" t="s">
        <v>21</v>
      </c>
      <c r="K858" t="s">
        <v>22</v>
      </c>
      <c r="L858">
        <v>1335243600</v>
      </c>
      <c r="M858">
        <v>1336712400</v>
      </c>
      <c r="N858" s="19">
        <f t="shared" si="54"/>
        <v>41023.208333333336</v>
      </c>
      <c r="O858" s="19">
        <f t="shared" si="55"/>
        <v>41040.208333333336</v>
      </c>
      <c r="P858" t="b">
        <v>0</v>
      </c>
      <c r="Q858" t="b">
        <v>0</v>
      </c>
      <c r="R858" t="s">
        <v>17</v>
      </c>
      <c r="S858" t="s">
        <v>2031</v>
      </c>
      <c r="T858" t="s">
        <v>2032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>
        <f t="shared" si="52"/>
        <v>140</v>
      </c>
      <c r="G859" s="5" t="s">
        <v>20</v>
      </c>
      <c r="H859">
        <v>225</v>
      </c>
      <c r="I859">
        <f t="shared" si="53"/>
        <v>32.950000000000003</v>
      </c>
      <c r="J859" t="s">
        <v>98</v>
      </c>
      <c r="K859" t="s">
        <v>99</v>
      </c>
      <c r="L859">
        <v>1328421600</v>
      </c>
      <c r="M859">
        <v>1330408800</v>
      </c>
      <c r="N859" s="19">
        <f t="shared" si="54"/>
        <v>40944.25</v>
      </c>
      <c r="O859" s="19">
        <f t="shared" si="55"/>
        <v>40967.25</v>
      </c>
      <c r="P859" t="b">
        <v>1</v>
      </c>
      <c r="Q859" t="b">
        <v>0</v>
      </c>
      <c r="R859" t="s">
        <v>100</v>
      </c>
      <c r="S859" t="s">
        <v>2039</v>
      </c>
      <c r="T859" t="s">
        <v>2050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>
        <f t="shared" si="52"/>
        <v>69</v>
      </c>
      <c r="G860" s="4" t="s">
        <v>14</v>
      </c>
      <c r="H860">
        <v>35</v>
      </c>
      <c r="I860">
        <f t="shared" si="53"/>
        <v>79.37</v>
      </c>
      <c r="J860" t="s">
        <v>21</v>
      </c>
      <c r="K860" t="s">
        <v>22</v>
      </c>
      <c r="L860">
        <v>1524286800</v>
      </c>
      <c r="M860">
        <v>1524891600</v>
      </c>
      <c r="N860" s="19">
        <f t="shared" si="54"/>
        <v>43211.208333333328</v>
      </c>
      <c r="O860" s="19">
        <f t="shared" si="55"/>
        <v>43218.208333333328</v>
      </c>
      <c r="P860" t="b">
        <v>1</v>
      </c>
      <c r="Q860" t="b">
        <v>0</v>
      </c>
      <c r="R860" t="s">
        <v>17</v>
      </c>
      <c r="S860" t="s">
        <v>2031</v>
      </c>
      <c r="T860" t="s">
        <v>2032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>
        <f t="shared" si="52"/>
        <v>36</v>
      </c>
      <c r="G861" s="4" t="s">
        <v>14</v>
      </c>
      <c r="H861">
        <v>63</v>
      </c>
      <c r="I861">
        <f t="shared" si="53"/>
        <v>41.17</v>
      </c>
      <c r="J861" t="s">
        <v>21</v>
      </c>
      <c r="K861" t="s">
        <v>22</v>
      </c>
      <c r="L861">
        <v>1362117600</v>
      </c>
      <c r="M861">
        <v>1363669200</v>
      </c>
      <c r="N861" s="19">
        <f t="shared" si="54"/>
        <v>41334.25</v>
      </c>
      <c r="O861" s="19">
        <f t="shared" si="55"/>
        <v>41352.208333333336</v>
      </c>
      <c r="P861" t="b">
        <v>0</v>
      </c>
      <c r="Q861" t="b">
        <v>1</v>
      </c>
      <c r="R861" t="s">
        <v>33</v>
      </c>
      <c r="S861" t="s">
        <v>2037</v>
      </c>
      <c r="T861" t="s">
        <v>2038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>
        <f t="shared" si="52"/>
        <v>252</v>
      </c>
      <c r="G862" s="5" t="s">
        <v>20</v>
      </c>
      <c r="H862">
        <v>65</v>
      </c>
      <c r="I862">
        <f t="shared" si="53"/>
        <v>77.430000000000007</v>
      </c>
      <c r="J862" t="s">
        <v>21</v>
      </c>
      <c r="K862" t="s">
        <v>22</v>
      </c>
      <c r="L862">
        <v>1550556000</v>
      </c>
      <c r="M862">
        <v>1551420000</v>
      </c>
      <c r="N862" s="19">
        <f t="shared" si="54"/>
        <v>43515.25</v>
      </c>
      <c r="O862" s="19">
        <f t="shared" si="55"/>
        <v>43525.25</v>
      </c>
      <c r="P862" t="b">
        <v>0</v>
      </c>
      <c r="Q862" t="b">
        <v>1</v>
      </c>
      <c r="R862" t="s">
        <v>65</v>
      </c>
      <c r="S862" t="s">
        <v>2035</v>
      </c>
      <c r="T862" t="s">
        <v>2044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>
        <f t="shared" si="52"/>
        <v>106</v>
      </c>
      <c r="G863" s="5" t="s">
        <v>20</v>
      </c>
      <c r="H863">
        <v>163</v>
      </c>
      <c r="I863">
        <f t="shared" si="53"/>
        <v>57.16</v>
      </c>
      <c r="J863" t="s">
        <v>21</v>
      </c>
      <c r="K863" t="s">
        <v>22</v>
      </c>
      <c r="L863">
        <v>1269147600</v>
      </c>
      <c r="M863">
        <v>1269838800</v>
      </c>
      <c r="N863" s="19">
        <f t="shared" si="54"/>
        <v>40258.208333333336</v>
      </c>
      <c r="O863" s="19">
        <f t="shared" si="55"/>
        <v>40266.208333333336</v>
      </c>
      <c r="P863" t="b">
        <v>0</v>
      </c>
      <c r="Q863" t="b">
        <v>0</v>
      </c>
      <c r="R863" t="s">
        <v>33</v>
      </c>
      <c r="S863" t="s">
        <v>2037</v>
      </c>
      <c r="T863" t="s">
        <v>2038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>
        <f t="shared" si="52"/>
        <v>187</v>
      </c>
      <c r="G864" s="5" t="s">
        <v>20</v>
      </c>
      <c r="H864">
        <v>85</v>
      </c>
      <c r="I864">
        <f t="shared" si="53"/>
        <v>77.180000000000007</v>
      </c>
      <c r="J864" t="s">
        <v>21</v>
      </c>
      <c r="K864" t="s">
        <v>22</v>
      </c>
      <c r="L864">
        <v>1312174800</v>
      </c>
      <c r="M864">
        <v>1312520400</v>
      </c>
      <c r="N864" s="19">
        <f t="shared" si="54"/>
        <v>40756.208333333336</v>
      </c>
      <c r="O864" s="19">
        <f t="shared" si="55"/>
        <v>40760.208333333336</v>
      </c>
      <c r="P864" t="b">
        <v>0</v>
      </c>
      <c r="Q864" t="b">
        <v>0</v>
      </c>
      <c r="R864" t="s">
        <v>33</v>
      </c>
      <c r="S864" t="s">
        <v>2037</v>
      </c>
      <c r="T864" t="s">
        <v>2038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>
        <f t="shared" si="52"/>
        <v>387</v>
      </c>
      <c r="G865" s="5" t="s">
        <v>20</v>
      </c>
      <c r="H865">
        <v>217</v>
      </c>
      <c r="I865">
        <f t="shared" si="53"/>
        <v>24.95</v>
      </c>
      <c r="J865" t="s">
        <v>21</v>
      </c>
      <c r="K865" t="s">
        <v>22</v>
      </c>
      <c r="L865">
        <v>1434517200</v>
      </c>
      <c r="M865">
        <v>1436504400</v>
      </c>
      <c r="N865" s="19">
        <f t="shared" si="54"/>
        <v>42172.208333333328</v>
      </c>
      <c r="O865" s="19">
        <f t="shared" si="55"/>
        <v>42195.208333333328</v>
      </c>
      <c r="P865" t="b">
        <v>0</v>
      </c>
      <c r="Q865" t="b">
        <v>1</v>
      </c>
      <c r="R865" t="s">
        <v>269</v>
      </c>
      <c r="S865" t="s">
        <v>2039</v>
      </c>
      <c r="T865" t="s">
        <v>2058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>
        <f t="shared" si="52"/>
        <v>347</v>
      </c>
      <c r="G866" s="5" t="s">
        <v>20</v>
      </c>
      <c r="H866">
        <v>150</v>
      </c>
      <c r="I866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s="19">
        <f t="shared" si="54"/>
        <v>42601.208333333328</v>
      </c>
      <c r="O866" s="19">
        <f t="shared" si="55"/>
        <v>42606.208333333328</v>
      </c>
      <c r="P866" t="b">
        <v>0</v>
      </c>
      <c r="Q866" t="b">
        <v>0</v>
      </c>
      <c r="R866" t="s">
        <v>100</v>
      </c>
      <c r="S866" t="s">
        <v>2039</v>
      </c>
      <c r="T866" t="s">
        <v>2050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>
        <f t="shared" si="52"/>
        <v>186</v>
      </c>
      <c r="G867" s="5" t="s">
        <v>20</v>
      </c>
      <c r="H867">
        <v>3272</v>
      </c>
      <c r="I867">
        <f t="shared" si="53"/>
        <v>46</v>
      </c>
      <c r="J867" t="s">
        <v>21</v>
      </c>
      <c r="K867" t="s">
        <v>22</v>
      </c>
      <c r="L867">
        <v>1410757200</v>
      </c>
      <c r="M867">
        <v>1411534800</v>
      </c>
      <c r="N867" s="19">
        <f t="shared" si="54"/>
        <v>41897.208333333336</v>
      </c>
      <c r="O867" s="19">
        <f t="shared" si="55"/>
        <v>41906.208333333336</v>
      </c>
      <c r="P867" t="b">
        <v>0</v>
      </c>
      <c r="Q867" t="b">
        <v>0</v>
      </c>
      <c r="R867" t="s">
        <v>33</v>
      </c>
      <c r="S867" t="s">
        <v>2037</v>
      </c>
      <c r="T867" t="s">
        <v>2038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>
        <f t="shared" si="52"/>
        <v>43</v>
      </c>
      <c r="G868" s="7" t="s">
        <v>74</v>
      </c>
      <c r="H868">
        <v>898</v>
      </c>
      <c r="I868">
        <f t="shared" si="53"/>
        <v>88.02</v>
      </c>
      <c r="J868" t="s">
        <v>21</v>
      </c>
      <c r="K868" t="s">
        <v>22</v>
      </c>
      <c r="L868">
        <v>1304830800</v>
      </c>
      <c r="M868">
        <v>1304917200</v>
      </c>
      <c r="N868" s="19">
        <f t="shared" si="54"/>
        <v>40671.208333333336</v>
      </c>
      <c r="O868" s="19">
        <f t="shared" si="55"/>
        <v>40672.208333333336</v>
      </c>
      <c r="P868" t="b">
        <v>0</v>
      </c>
      <c r="Q868" t="b">
        <v>0</v>
      </c>
      <c r="R868" t="s">
        <v>122</v>
      </c>
      <c r="S868" t="s">
        <v>2052</v>
      </c>
      <c r="T868" t="s">
        <v>2053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>
        <f t="shared" si="52"/>
        <v>162</v>
      </c>
      <c r="G869" s="5" t="s">
        <v>20</v>
      </c>
      <c r="H869">
        <v>300</v>
      </c>
      <c r="I869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s="19">
        <f t="shared" si="54"/>
        <v>43382.208333333328</v>
      </c>
      <c r="O869" s="19">
        <f t="shared" si="55"/>
        <v>43388.208333333328</v>
      </c>
      <c r="P869" t="b">
        <v>0</v>
      </c>
      <c r="Q869" t="b">
        <v>0</v>
      </c>
      <c r="R869" t="s">
        <v>17</v>
      </c>
      <c r="S869" t="s">
        <v>2031</v>
      </c>
      <c r="T869" t="s">
        <v>2032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>
        <f t="shared" si="52"/>
        <v>185</v>
      </c>
      <c r="G870" s="5" t="s">
        <v>20</v>
      </c>
      <c r="H870">
        <v>126</v>
      </c>
      <c r="I870">
        <f t="shared" si="53"/>
        <v>102.69</v>
      </c>
      <c r="J870" t="s">
        <v>21</v>
      </c>
      <c r="K870" t="s">
        <v>22</v>
      </c>
      <c r="L870">
        <v>1381554000</v>
      </c>
      <c r="M870">
        <v>1382504400</v>
      </c>
      <c r="N870" s="19">
        <f t="shared" si="54"/>
        <v>41559.208333333336</v>
      </c>
      <c r="O870" s="19">
        <f t="shared" si="55"/>
        <v>41570.208333333336</v>
      </c>
      <c r="P870" t="b">
        <v>0</v>
      </c>
      <c r="Q870" t="b">
        <v>0</v>
      </c>
      <c r="R870" t="s">
        <v>33</v>
      </c>
      <c r="S870" t="s">
        <v>2037</v>
      </c>
      <c r="T870" t="s">
        <v>2038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>
        <f t="shared" si="52"/>
        <v>24</v>
      </c>
      <c r="G871" s="4" t="s">
        <v>14</v>
      </c>
      <c r="H871">
        <v>526</v>
      </c>
      <c r="I871">
        <f t="shared" si="53"/>
        <v>72.959999999999994</v>
      </c>
      <c r="J871" t="s">
        <v>21</v>
      </c>
      <c r="K871" t="s">
        <v>22</v>
      </c>
      <c r="L871">
        <v>1277096400</v>
      </c>
      <c r="M871">
        <v>1278306000</v>
      </c>
      <c r="N871" s="19">
        <f t="shared" si="54"/>
        <v>40350.208333333336</v>
      </c>
      <c r="O871" s="19">
        <f t="shared" si="55"/>
        <v>40364.208333333336</v>
      </c>
      <c r="P871" t="b">
        <v>0</v>
      </c>
      <c r="Q871" t="b">
        <v>0</v>
      </c>
      <c r="R871" t="s">
        <v>53</v>
      </c>
      <c r="S871" t="s">
        <v>2039</v>
      </c>
      <c r="T871" t="s">
        <v>2042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>
        <f t="shared" si="52"/>
        <v>90</v>
      </c>
      <c r="G872" s="4" t="s">
        <v>14</v>
      </c>
      <c r="H872">
        <v>121</v>
      </c>
      <c r="I872">
        <f t="shared" si="53"/>
        <v>57.19</v>
      </c>
      <c r="J872" t="s">
        <v>21</v>
      </c>
      <c r="K872" t="s">
        <v>22</v>
      </c>
      <c r="L872">
        <v>1440392400</v>
      </c>
      <c r="M872">
        <v>1442552400</v>
      </c>
      <c r="N872" s="19">
        <f t="shared" si="54"/>
        <v>42240.208333333328</v>
      </c>
      <c r="O872" s="19">
        <f t="shared" si="55"/>
        <v>42265.208333333328</v>
      </c>
      <c r="P872" t="b">
        <v>0</v>
      </c>
      <c r="Q872" t="b">
        <v>0</v>
      </c>
      <c r="R872" t="s">
        <v>33</v>
      </c>
      <c r="S872" t="s">
        <v>2037</v>
      </c>
      <c r="T872" t="s">
        <v>2038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>
        <f t="shared" si="52"/>
        <v>273</v>
      </c>
      <c r="G873" s="5" t="s">
        <v>20</v>
      </c>
      <c r="H873">
        <v>2320</v>
      </c>
      <c r="I873">
        <f t="shared" si="53"/>
        <v>84.01</v>
      </c>
      <c r="J873" t="s">
        <v>21</v>
      </c>
      <c r="K873" t="s">
        <v>22</v>
      </c>
      <c r="L873">
        <v>1509512400</v>
      </c>
      <c r="M873">
        <v>1511071200</v>
      </c>
      <c r="N873" s="19">
        <f t="shared" si="54"/>
        <v>43040.208333333328</v>
      </c>
      <c r="O873" s="19">
        <f t="shared" si="55"/>
        <v>43058.25</v>
      </c>
      <c r="P873" t="b">
        <v>0</v>
      </c>
      <c r="Q873" t="b">
        <v>1</v>
      </c>
      <c r="R873" t="s">
        <v>33</v>
      </c>
      <c r="S873" t="s">
        <v>2037</v>
      </c>
      <c r="T873" t="s">
        <v>2038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>
        <f t="shared" si="52"/>
        <v>170</v>
      </c>
      <c r="G874" s="5" t="s">
        <v>20</v>
      </c>
      <c r="H874">
        <v>81</v>
      </c>
      <c r="I874">
        <f t="shared" si="53"/>
        <v>98.67</v>
      </c>
      <c r="J874" t="s">
        <v>26</v>
      </c>
      <c r="K874" t="s">
        <v>27</v>
      </c>
      <c r="L874">
        <v>1535950800</v>
      </c>
      <c r="M874">
        <v>1536382800</v>
      </c>
      <c r="N874" s="19">
        <f t="shared" si="54"/>
        <v>43346.208333333328</v>
      </c>
      <c r="O874" s="19">
        <f t="shared" si="55"/>
        <v>43351.208333333328</v>
      </c>
      <c r="P874" t="b">
        <v>0</v>
      </c>
      <c r="Q874" t="b">
        <v>0</v>
      </c>
      <c r="R874" t="s">
        <v>474</v>
      </c>
      <c r="S874" t="s">
        <v>2039</v>
      </c>
      <c r="T874" t="s">
        <v>2061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>
        <f t="shared" si="52"/>
        <v>188</v>
      </c>
      <c r="G875" s="5" t="s">
        <v>20</v>
      </c>
      <c r="H875">
        <v>1887</v>
      </c>
      <c r="I875">
        <f t="shared" si="53"/>
        <v>42.01</v>
      </c>
      <c r="J875" t="s">
        <v>21</v>
      </c>
      <c r="K875" t="s">
        <v>22</v>
      </c>
      <c r="L875">
        <v>1389160800</v>
      </c>
      <c r="M875">
        <v>1389592800</v>
      </c>
      <c r="N875" s="19">
        <f t="shared" si="54"/>
        <v>41647.25</v>
      </c>
      <c r="O875" s="19">
        <f t="shared" si="55"/>
        <v>41652.25</v>
      </c>
      <c r="P875" t="b">
        <v>0</v>
      </c>
      <c r="Q875" t="b">
        <v>0</v>
      </c>
      <c r="R875" t="s">
        <v>122</v>
      </c>
      <c r="S875" t="s">
        <v>2052</v>
      </c>
      <c r="T875" t="s">
        <v>2053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>
        <f t="shared" si="52"/>
        <v>347</v>
      </c>
      <c r="G876" s="5" t="s">
        <v>20</v>
      </c>
      <c r="H876">
        <v>4358</v>
      </c>
      <c r="I876">
        <f t="shared" si="53"/>
        <v>32</v>
      </c>
      <c r="J876" t="s">
        <v>21</v>
      </c>
      <c r="K876" t="s">
        <v>22</v>
      </c>
      <c r="L876">
        <v>1271998800</v>
      </c>
      <c r="M876">
        <v>1275282000</v>
      </c>
      <c r="N876" s="19">
        <f t="shared" si="54"/>
        <v>40291.208333333336</v>
      </c>
      <c r="O876" s="19">
        <f t="shared" si="55"/>
        <v>40329.208333333336</v>
      </c>
      <c r="P876" t="b">
        <v>0</v>
      </c>
      <c r="Q876" t="b">
        <v>1</v>
      </c>
      <c r="R876" t="s">
        <v>122</v>
      </c>
      <c r="S876" t="s">
        <v>2052</v>
      </c>
      <c r="T876" t="s">
        <v>2053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>
        <f t="shared" si="52"/>
        <v>69</v>
      </c>
      <c r="G877" s="4" t="s">
        <v>14</v>
      </c>
      <c r="H877">
        <v>67</v>
      </c>
      <c r="I877">
        <f t="shared" si="53"/>
        <v>81.569999999999993</v>
      </c>
      <c r="J877" t="s">
        <v>21</v>
      </c>
      <c r="K877" t="s">
        <v>22</v>
      </c>
      <c r="L877">
        <v>1294898400</v>
      </c>
      <c r="M877">
        <v>1294984800</v>
      </c>
      <c r="N877" s="19">
        <f t="shared" si="54"/>
        <v>40556.25</v>
      </c>
      <c r="O877" s="19">
        <f t="shared" si="55"/>
        <v>40557.25</v>
      </c>
      <c r="P877" t="b">
        <v>0</v>
      </c>
      <c r="Q877" t="b">
        <v>0</v>
      </c>
      <c r="R877" t="s">
        <v>23</v>
      </c>
      <c r="S877" t="s">
        <v>2033</v>
      </c>
      <c r="T877" t="s">
        <v>2034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>
        <f t="shared" si="52"/>
        <v>25</v>
      </c>
      <c r="G878" s="4" t="s">
        <v>14</v>
      </c>
      <c r="H878">
        <v>57</v>
      </c>
      <c r="I878">
        <f t="shared" si="53"/>
        <v>37.04</v>
      </c>
      <c r="J878" t="s">
        <v>15</v>
      </c>
      <c r="K878" t="s">
        <v>16</v>
      </c>
      <c r="L878">
        <v>1559970000</v>
      </c>
      <c r="M878">
        <v>1562043600</v>
      </c>
      <c r="N878" s="19">
        <f t="shared" si="54"/>
        <v>43624.208333333328</v>
      </c>
      <c r="O878" s="19">
        <f t="shared" si="55"/>
        <v>43648.208333333328</v>
      </c>
      <c r="P878" t="b">
        <v>0</v>
      </c>
      <c r="Q878" t="b">
        <v>0</v>
      </c>
      <c r="R878" t="s">
        <v>122</v>
      </c>
      <c r="S878" t="s">
        <v>2052</v>
      </c>
      <c r="T878" t="s">
        <v>2053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>
        <f t="shared" si="52"/>
        <v>77</v>
      </c>
      <c r="G879" s="4" t="s">
        <v>14</v>
      </c>
      <c r="H879">
        <v>1229</v>
      </c>
      <c r="I879">
        <f t="shared" si="53"/>
        <v>103.03</v>
      </c>
      <c r="J879" t="s">
        <v>21</v>
      </c>
      <c r="K879" t="s">
        <v>22</v>
      </c>
      <c r="L879">
        <v>1469509200</v>
      </c>
      <c r="M879">
        <v>1469595600</v>
      </c>
      <c r="N879" s="19">
        <f t="shared" si="54"/>
        <v>42577.208333333328</v>
      </c>
      <c r="O879" s="19">
        <f t="shared" si="55"/>
        <v>42578.208333333328</v>
      </c>
      <c r="P879" t="b">
        <v>0</v>
      </c>
      <c r="Q879" t="b">
        <v>0</v>
      </c>
      <c r="R879" t="s">
        <v>17</v>
      </c>
      <c r="S879" t="s">
        <v>2031</v>
      </c>
      <c r="T879" t="s">
        <v>2032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>
        <f t="shared" si="52"/>
        <v>37</v>
      </c>
      <c r="G880" s="4" t="s">
        <v>14</v>
      </c>
      <c r="H880">
        <v>12</v>
      </c>
      <c r="I880">
        <f t="shared" si="53"/>
        <v>84.33</v>
      </c>
      <c r="J880" t="s">
        <v>107</v>
      </c>
      <c r="K880" t="s">
        <v>108</v>
      </c>
      <c r="L880">
        <v>1579068000</v>
      </c>
      <c r="M880">
        <v>1581141600</v>
      </c>
      <c r="N880" s="19">
        <f t="shared" si="54"/>
        <v>43845.25</v>
      </c>
      <c r="O880" s="19">
        <f t="shared" si="55"/>
        <v>43869.25</v>
      </c>
      <c r="P880" t="b">
        <v>0</v>
      </c>
      <c r="Q880" t="b">
        <v>0</v>
      </c>
      <c r="R880" t="s">
        <v>148</v>
      </c>
      <c r="S880" t="s">
        <v>2033</v>
      </c>
      <c r="T880" t="s">
        <v>2055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>
        <f t="shared" si="52"/>
        <v>544</v>
      </c>
      <c r="G881" s="5" t="s">
        <v>20</v>
      </c>
      <c r="H881">
        <v>53</v>
      </c>
      <c r="I881">
        <f t="shared" si="53"/>
        <v>102.6</v>
      </c>
      <c r="J881" t="s">
        <v>21</v>
      </c>
      <c r="K881" t="s">
        <v>22</v>
      </c>
      <c r="L881">
        <v>1487743200</v>
      </c>
      <c r="M881">
        <v>1488520800</v>
      </c>
      <c r="N881" s="19">
        <f t="shared" si="54"/>
        <v>42788.25</v>
      </c>
      <c r="O881" s="19">
        <f t="shared" si="55"/>
        <v>42797.25</v>
      </c>
      <c r="P881" t="b">
        <v>0</v>
      </c>
      <c r="Q881" t="b">
        <v>0</v>
      </c>
      <c r="R881" t="s">
        <v>68</v>
      </c>
      <c r="S881" t="s">
        <v>2045</v>
      </c>
      <c r="T881" t="s">
        <v>2046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>
        <f t="shared" si="52"/>
        <v>229</v>
      </c>
      <c r="G882" s="5" t="s">
        <v>20</v>
      </c>
      <c r="H882">
        <v>2414</v>
      </c>
      <c r="I882">
        <f t="shared" si="53"/>
        <v>79.989999999999995</v>
      </c>
      <c r="J882" t="s">
        <v>21</v>
      </c>
      <c r="K882" t="s">
        <v>22</v>
      </c>
      <c r="L882">
        <v>1563685200</v>
      </c>
      <c r="M882">
        <v>1563858000</v>
      </c>
      <c r="N882" s="19">
        <f t="shared" si="54"/>
        <v>43667.208333333328</v>
      </c>
      <c r="O882" s="19">
        <f t="shared" si="55"/>
        <v>43669.208333333328</v>
      </c>
      <c r="P882" t="b">
        <v>0</v>
      </c>
      <c r="Q882" t="b">
        <v>0</v>
      </c>
      <c r="R882" t="s">
        <v>50</v>
      </c>
      <c r="S882" t="s">
        <v>2033</v>
      </c>
      <c r="T882" t="s">
        <v>2041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>
        <f t="shared" si="52"/>
        <v>39</v>
      </c>
      <c r="G883" s="4" t="s">
        <v>14</v>
      </c>
      <c r="H883">
        <v>452</v>
      </c>
      <c r="I883">
        <f t="shared" si="53"/>
        <v>70.06</v>
      </c>
      <c r="J883" t="s">
        <v>21</v>
      </c>
      <c r="K883" t="s">
        <v>22</v>
      </c>
      <c r="L883">
        <v>1436418000</v>
      </c>
      <c r="M883">
        <v>1438923600</v>
      </c>
      <c r="N883" s="19">
        <f t="shared" si="54"/>
        <v>42194.208333333328</v>
      </c>
      <c r="O883" s="19">
        <f t="shared" si="55"/>
        <v>42223.208333333328</v>
      </c>
      <c r="P883" t="b">
        <v>0</v>
      </c>
      <c r="Q883" t="b">
        <v>1</v>
      </c>
      <c r="R883" t="s">
        <v>33</v>
      </c>
      <c r="S883" t="s">
        <v>2037</v>
      </c>
      <c r="T883" t="s">
        <v>2038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>
        <f t="shared" si="52"/>
        <v>370</v>
      </c>
      <c r="G884" s="5" t="s">
        <v>20</v>
      </c>
      <c r="H884">
        <v>80</v>
      </c>
      <c r="I884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s="19">
        <f t="shared" si="54"/>
        <v>42025.25</v>
      </c>
      <c r="O884" s="19">
        <f t="shared" si="55"/>
        <v>42029.25</v>
      </c>
      <c r="P884" t="b">
        <v>0</v>
      </c>
      <c r="Q884" t="b">
        <v>0</v>
      </c>
      <c r="R884" t="s">
        <v>33</v>
      </c>
      <c r="S884" t="s">
        <v>2037</v>
      </c>
      <c r="T884" t="s">
        <v>2038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>
        <f t="shared" si="52"/>
        <v>238</v>
      </c>
      <c r="G885" s="5" t="s">
        <v>20</v>
      </c>
      <c r="H885">
        <v>193</v>
      </c>
      <c r="I885">
        <f t="shared" si="53"/>
        <v>41.91</v>
      </c>
      <c r="J885" t="s">
        <v>21</v>
      </c>
      <c r="K885" t="s">
        <v>22</v>
      </c>
      <c r="L885">
        <v>1274763600</v>
      </c>
      <c r="M885">
        <v>1277874000</v>
      </c>
      <c r="N885" s="19">
        <f t="shared" si="54"/>
        <v>40323.208333333336</v>
      </c>
      <c r="O885" s="19">
        <f t="shared" si="55"/>
        <v>40359.208333333336</v>
      </c>
      <c r="P885" t="b">
        <v>0</v>
      </c>
      <c r="Q885" t="b">
        <v>0</v>
      </c>
      <c r="R885" t="s">
        <v>100</v>
      </c>
      <c r="S885" t="s">
        <v>2039</v>
      </c>
      <c r="T885" t="s">
        <v>2050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>
        <f t="shared" si="52"/>
        <v>64</v>
      </c>
      <c r="G886" s="4" t="s">
        <v>14</v>
      </c>
      <c r="H886">
        <v>1886</v>
      </c>
      <c r="I886">
        <f t="shared" si="53"/>
        <v>57.99</v>
      </c>
      <c r="J886" t="s">
        <v>21</v>
      </c>
      <c r="K886" t="s">
        <v>22</v>
      </c>
      <c r="L886">
        <v>1399179600</v>
      </c>
      <c r="M886">
        <v>1399352400</v>
      </c>
      <c r="N886" s="19">
        <f t="shared" si="54"/>
        <v>41763.208333333336</v>
      </c>
      <c r="O886" s="19">
        <f t="shared" si="55"/>
        <v>41765.208333333336</v>
      </c>
      <c r="P886" t="b">
        <v>0</v>
      </c>
      <c r="Q886" t="b">
        <v>1</v>
      </c>
      <c r="R886" t="s">
        <v>33</v>
      </c>
      <c r="S886" t="s">
        <v>2037</v>
      </c>
      <c r="T886" t="s">
        <v>2038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>
        <f t="shared" si="52"/>
        <v>118</v>
      </c>
      <c r="G887" s="5" t="s">
        <v>20</v>
      </c>
      <c r="H887">
        <v>52</v>
      </c>
      <c r="I887">
        <f t="shared" si="53"/>
        <v>40.94</v>
      </c>
      <c r="J887" t="s">
        <v>21</v>
      </c>
      <c r="K887" t="s">
        <v>22</v>
      </c>
      <c r="L887">
        <v>1275800400</v>
      </c>
      <c r="M887">
        <v>1279083600</v>
      </c>
      <c r="N887" s="19">
        <f t="shared" si="54"/>
        <v>40335.208333333336</v>
      </c>
      <c r="O887" s="19">
        <f t="shared" si="55"/>
        <v>40373.208333333336</v>
      </c>
      <c r="P887" t="b">
        <v>0</v>
      </c>
      <c r="Q887" t="b">
        <v>0</v>
      </c>
      <c r="R887" t="s">
        <v>33</v>
      </c>
      <c r="S887" t="s">
        <v>2037</v>
      </c>
      <c r="T887" t="s">
        <v>2038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>
        <f t="shared" si="52"/>
        <v>85</v>
      </c>
      <c r="G888" s="4" t="s">
        <v>14</v>
      </c>
      <c r="H888">
        <v>1825</v>
      </c>
      <c r="I888">
        <f t="shared" si="53"/>
        <v>70</v>
      </c>
      <c r="J888" t="s">
        <v>21</v>
      </c>
      <c r="K888" t="s">
        <v>22</v>
      </c>
      <c r="L888">
        <v>1282798800</v>
      </c>
      <c r="M888">
        <v>1284354000</v>
      </c>
      <c r="N888" s="19">
        <f t="shared" si="54"/>
        <v>40416.208333333336</v>
      </c>
      <c r="O888" s="19">
        <f t="shared" si="55"/>
        <v>40434.208333333336</v>
      </c>
      <c r="P888" t="b">
        <v>0</v>
      </c>
      <c r="Q888" t="b">
        <v>0</v>
      </c>
      <c r="R888" t="s">
        <v>60</v>
      </c>
      <c r="S888" t="s">
        <v>2033</v>
      </c>
      <c r="T888" t="s">
        <v>2043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>
        <f t="shared" si="52"/>
        <v>29</v>
      </c>
      <c r="G889" s="4" t="s">
        <v>14</v>
      </c>
      <c r="H889">
        <v>31</v>
      </c>
      <c r="I889">
        <f t="shared" si="53"/>
        <v>73.84</v>
      </c>
      <c r="J889" t="s">
        <v>21</v>
      </c>
      <c r="K889" t="s">
        <v>22</v>
      </c>
      <c r="L889">
        <v>1437109200</v>
      </c>
      <c r="M889">
        <v>1441170000</v>
      </c>
      <c r="N889" s="19">
        <f t="shared" si="54"/>
        <v>42202.208333333328</v>
      </c>
      <c r="O889" s="19">
        <f t="shared" si="55"/>
        <v>42249.208333333328</v>
      </c>
      <c r="P889" t="b">
        <v>0</v>
      </c>
      <c r="Q889" t="b">
        <v>1</v>
      </c>
      <c r="R889" t="s">
        <v>33</v>
      </c>
      <c r="S889" t="s">
        <v>2037</v>
      </c>
      <c r="T889" t="s">
        <v>2038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>
        <f t="shared" si="52"/>
        <v>210</v>
      </c>
      <c r="G890" s="5" t="s">
        <v>20</v>
      </c>
      <c r="H890">
        <v>290</v>
      </c>
      <c r="I890">
        <f t="shared" si="53"/>
        <v>41.98</v>
      </c>
      <c r="J890" t="s">
        <v>21</v>
      </c>
      <c r="K890" t="s">
        <v>22</v>
      </c>
      <c r="L890">
        <v>1491886800</v>
      </c>
      <c r="M890">
        <v>1493528400</v>
      </c>
      <c r="N890" s="19">
        <f t="shared" si="54"/>
        <v>42836.208333333328</v>
      </c>
      <c r="O890" s="19">
        <f t="shared" si="55"/>
        <v>42855.208333333328</v>
      </c>
      <c r="P890" t="b">
        <v>0</v>
      </c>
      <c r="Q890" t="b">
        <v>0</v>
      </c>
      <c r="R890" t="s">
        <v>33</v>
      </c>
      <c r="S890" t="s">
        <v>2037</v>
      </c>
      <c r="T890" t="s">
        <v>2038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>
        <f t="shared" si="52"/>
        <v>170</v>
      </c>
      <c r="G891" s="5" t="s">
        <v>20</v>
      </c>
      <c r="H891">
        <v>122</v>
      </c>
      <c r="I891">
        <f t="shared" si="53"/>
        <v>77.930000000000007</v>
      </c>
      <c r="J891" t="s">
        <v>21</v>
      </c>
      <c r="K891" t="s">
        <v>22</v>
      </c>
      <c r="L891">
        <v>1394600400</v>
      </c>
      <c r="M891">
        <v>1395205200</v>
      </c>
      <c r="N891" s="19">
        <f t="shared" si="54"/>
        <v>41710.208333333336</v>
      </c>
      <c r="O891" s="19">
        <f t="shared" si="55"/>
        <v>41717.208333333336</v>
      </c>
      <c r="P891" t="b">
        <v>0</v>
      </c>
      <c r="Q891" t="b">
        <v>1</v>
      </c>
      <c r="R891" t="s">
        <v>50</v>
      </c>
      <c r="S891" t="s">
        <v>2033</v>
      </c>
      <c r="T891" t="s">
        <v>2041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>
        <f t="shared" si="52"/>
        <v>116</v>
      </c>
      <c r="G892" s="5" t="s">
        <v>20</v>
      </c>
      <c r="H892">
        <v>1470</v>
      </c>
      <c r="I892">
        <f t="shared" si="53"/>
        <v>106.02</v>
      </c>
      <c r="J892" t="s">
        <v>21</v>
      </c>
      <c r="K892" t="s">
        <v>22</v>
      </c>
      <c r="L892">
        <v>1561352400</v>
      </c>
      <c r="M892">
        <v>1561438800</v>
      </c>
      <c r="N892" s="19">
        <f t="shared" si="54"/>
        <v>43640.208333333328</v>
      </c>
      <c r="O892" s="19">
        <f t="shared" si="55"/>
        <v>43641.208333333328</v>
      </c>
      <c r="P892" t="b">
        <v>0</v>
      </c>
      <c r="Q892" t="b">
        <v>0</v>
      </c>
      <c r="R892" t="s">
        <v>60</v>
      </c>
      <c r="S892" t="s">
        <v>2033</v>
      </c>
      <c r="T892" t="s">
        <v>2043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>
        <f t="shared" si="52"/>
        <v>259</v>
      </c>
      <c r="G893" s="5" t="s">
        <v>20</v>
      </c>
      <c r="H893">
        <v>165</v>
      </c>
      <c r="I893">
        <f t="shared" si="53"/>
        <v>47.02</v>
      </c>
      <c r="J893" t="s">
        <v>15</v>
      </c>
      <c r="K893" t="s">
        <v>16</v>
      </c>
      <c r="L893">
        <v>1322892000</v>
      </c>
      <c r="M893">
        <v>1326693600</v>
      </c>
      <c r="N893" s="19">
        <f t="shared" si="54"/>
        <v>40880.25</v>
      </c>
      <c r="O893" s="19">
        <f t="shared" si="55"/>
        <v>40924.25</v>
      </c>
      <c r="P893" t="b">
        <v>0</v>
      </c>
      <c r="Q893" t="b">
        <v>0</v>
      </c>
      <c r="R893" t="s">
        <v>42</v>
      </c>
      <c r="S893" t="s">
        <v>2039</v>
      </c>
      <c r="T893" t="s">
        <v>2040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>
        <f t="shared" si="52"/>
        <v>231</v>
      </c>
      <c r="G894" s="5" t="s">
        <v>20</v>
      </c>
      <c r="H894">
        <v>182</v>
      </c>
      <c r="I894">
        <f t="shared" si="53"/>
        <v>76.02</v>
      </c>
      <c r="J894" t="s">
        <v>21</v>
      </c>
      <c r="K894" t="s">
        <v>22</v>
      </c>
      <c r="L894">
        <v>1274418000</v>
      </c>
      <c r="M894">
        <v>1277960400</v>
      </c>
      <c r="N894" s="19">
        <f t="shared" si="54"/>
        <v>40319.208333333336</v>
      </c>
      <c r="O894" s="19">
        <f t="shared" si="55"/>
        <v>40360.208333333336</v>
      </c>
      <c r="P894" t="b">
        <v>0</v>
      </c>
      <c r="Q894" t="b">
        <v>0</v>
      </c>
      <c r="R894" t="s">
        <v>206</v>
      </c>
      <c r="S894" t="s">
        <v>2045</v>
      </c>
      <c r="T894" t="s">
        <v>2057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>
        <f t="shared" si="52"/>
        <v>128</v>
      </c>
      <c r="G895" s="5" t="s">
        <v>20</v>
      </c>
      <c r="H895">
        <v>199</v>
      </c>
      <c r="I895">
        <f t="shared" si="53"/>
        <v>54.12</v>
      </c>
      <c r="J895" t="s">
        <v>107</v>
      </c>
      <c r="K895" t="s">
        <v>108</v>
      </c>
      <c r="L895">
        <v>1434344400</v>
      </c>
      <c r="M895">
        <v>1434690000</v>
      </c>
      <c r="N895" s="19">
        <f t="shared" si="54"/>
        <v>42170.208333333328</v>
      </c>
      <c r="O895" s="19">
        <f t="shared" si="55"/>
        <v>42174.208333333328</v>
      </c>
      <c r="P895" t="b">
        <v>0</v>
      </c>
      <c r="Q895" t="b">
        <v>1</v>
      </c>
      <c r="R895" t="s">
        <v>42</v>
      </c>
      <c r="S895" t="s">
        <v>2039</v>
      </c>
      <c r="T895" t="s">
        <v>2040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>
        <f t="shared" si="52"/>
        <v>189</v>
      </c>
      <c r="G896" s="5" t="s">
        <v>20</v>
      </c>
      <c r="H896">
        <v>56</v>
      </c>
      <c r="I896">
        <f t="shared" si="53"/>
        <v>57.29</v>
      </c>
      <c r="J896" t="s">
        <v>40</v>
      </c>
      <c r="K896" t="s">
        <v>41</v>
      </c>
      <c r="L896">
        <v>1373518800</v>
      </c>
      <c r="M896">
        <v>1376110800</v>
      </c>
      <c r="N896" s="19">
        <f t="shared" si="54"/>
        <v>41466.208333333336</v>
      </c>
      <c r="O896" s="19">
        <f t="shared" si="55"/>
        <v>41496.208333333336</v>
      </c>
      <c r="P896" t="b">
        <v>0</v>
      </c>
      <c r="Q896" t="b">
        <v>1</v>
      </c>
      <c r="R896" t="s">
        <v>269</v>
      </c>
      <c r="S896" t="s">
        <v>2039</v>
      </c>
      <c r="T896" t="s">
        <v>2058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>
        <f t="shared" si="52"/>
        <v>7</v>
      </c>
      <c r="G897" s="4" t="s">
        <v>14</v>
      </c>
      <c r="H897">
        <v>107</v>
      </c>
      <c r="I897">
        <f t="shared" si="53"/>
        <v>103.81</v>
      </c>
      <c r="J897" t="s">
        <v>21</v>
      </c>
      <c r="K897" t="s">
        <v>22</v>
      </c>
      <c r="L897">
        <v>1517637600</v>
      </c>
      <c r="M897">
        <v>1518415200</v>
      </c>
      <c r="N897" s="19">
        <f t="shared" si="54"/>
        <v>43134.25</v>
      </c>
      <c r="O897" s="19">
        <f t="shared" si="55"/>
        <v>43143.25</v>
      </c>
      <c r="P897" t="b">
        <v>0</v>
      </c>
      <c r="Q897" t="b">
        <v>0</v>
      </c>
      <c r="R897" t="s">
        <v>33</v>
      </c>
      <c r="S897" t="s">
        <v>2037</v>
      </c>
      <c r="T897" t="s">
        <v>2038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>
        <f t="shared" si="52"/>
        <v>774</v>
      </c>
      <c r="G898" s="5" t="s">
        <v>20</v>
      </c>
      <c r="H898">
        <v>1460</v>
      </c>
      <c r="I898">
        <f t="shared" si="53"/>
        <v>105.03</v>
      </c>
      <c r="J898" t="s">
        <v>26</v>
      </c>
      <c r="K898" t="s">
        <v>27</v>
      </c>
      <c r="L898">
        <v>1310619600</v>
      </c>
      <c r="M898">
        <v>1310878800</v>
      </c>
      <c r="N898" s="19">
        <f t="shared" si="54"/>
        <v>40738.208333333336</v>
      </c>
      <c r="O898" s="19">
        <f t="shared" si="55"/>
        <v>40741.208333333336</v>
      </c>
      <c r="P898" t="b">
        <v>0</v>
      </c>
      <c r="Q898" t="b">
        <v>1</v>
      </c>
      <c r="R898" t="s">
        <v>17</v>
      </c>
      <c r="S898" t="s">
        <v>2031</v>
      </c>
      <c r="T898" t="s">
        <v>2032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>
        <f t="shared" ref="F899:F962" si="56">ROUND(E899/D899*100,0)</f>
        <v>28</v>
      </c>
      <c r="G899" s="4" t="s">
        <v>14</v>
      </c>
      <c r="H899">
        <v>27</v>
      </c>
      <c r="I899">
        <f t="shared" ref="I899:I962" si="57">ROUND(E899/H899,2)</f>
        <v>90.26</v>
      </c>
      <c r="J899" t="s">
        <v>21</v>
      </c>
      <c r="K899" t="s">
        <v>22</v>
      </c>
      <c r="L899">
        <v>1556427600</v>
      </c>
      <c r="M899">
        <v>1556600400</v>
      </c>
      <c r="N899" s="19">
        <f t="shared" ref="N899:N962" si="58">(((L899/60)/60)/24)+DATE(1970,1,1)</f>
        <v>43583.208333333328</v>
      </c>
      <c r="O899" s="19">
        <f t="shared" ref="O899:O962" si="59">(((M899/60)/60)/24)+DATE(1970,1,1)</f>
        <v>43585.208333333328</v>
      </c>
      <c r="P899" t="b">
        <v>0</v>
      </c>
      <c r="Q899" t="b">
        <v>0</v>
      </c>
      <c r="R899" t="s">
        <v>33</v>
      </c>
      <c r="S899" t="s">
        <v>2037</v>
      </c>
      <c r="T899" t="s">
        <v>2038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>
        <f t="shared" si="56"/>
        <v>52</v>
      </c>
      <c r="G900" s="4" t="s">
        <v>14</v>
      </c>
      <c r="H900">
        <v>1221</v>
      </c>
      <c r="I900">
        <f t="shared" si="57"/>
        <v>76.98</v>
      </c>
      <c r="J900" t="s">
        <v>21</v>
      </c>
      <c r="K900" t="s">
        <v>22</v>
      </c>
      <c r="L900">
        <v>1576476000</v>
      </c>
      <c r="M900">
        <v>1576994400</v>
      </c>
      <c r="N900" s="19">
        <f t="shared" si="58"/>
        <v>43815.25</v>
      </c>
      <c r="O900" s="19">
        <f t="shared" si="59"/>
        <v>43821.25</v>
      </c>
      <c r="P900" t="b">
        <v>0</v>
      </c>
      <c r="Q900" t="b">
        <v>0</v>
      </c>
      <c r="R900" t="s">
        <v>42</v>
      </c>
      <c r="S900" t="s">
        <v>2039</v>
      </c>
      <c r="T900" t="s">
        <v>2040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>
        <f t="shared" si="56"/>
        <v>407</v>
      </c>
      <c r="G901" s="5" t="s">
        <v>20</v>
      </c>
      <c r="H901">
        <v>123</v>
      </c>
      <c r="I901">
        <f t="shared" si="57"/>
        <v>102.6</v>
      </c>
      <c r="J901" t="s">
        <v>98</v>
      </c>
      <c r="K901" t="s">
        <v>99</v>
      </c>
      <c r="L901">
        <v>1381122000</v>
      </c>
      <c r="M901">
        <v>1382677200</v>
      </c>
      <c r="N901" s="19">
        <f t="shared" si="58"/>
        <v>41554.208333333336</v>
      </c>
      <c r="O901" s="19">
        <f t="shared" si="59"/>
        <v>41572.208333333336</v>
      </c>
      <c r="P901" t="b">
        <v>0</v>
      </c>
      <c r="Q901" t="b">
        <v>0</v>
      </c>
      <c r="R901" t="s">
        <v>159</v>
      </c>
      <c r="S901" t="s">
        <v>2033</v>
      </c>
      <c r="T901" t="s">
        <v>2056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>
        <f t="shared" si="56"/>
        <v>2</v>
      </c>
      <c r="G902" s="4" t="s">
        <v>14</v>
      </c>
      <c r="H902">
        <v>1</v>
      </c>
      <c r="I902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s="19">
        <f t="shared" si="58"/>
        <v>41901.208333333336</v>
      </c>
      <c r="O902" s="19">
        <f t="shared" si="59"/>
        <v>41902.208333333336</v>
      </c>
      <c r="P902" t="b">
        <v>0</v>
      </c>
      <c r="Q902" t="b">
        <v>1</v>
      </c>
      <c r="R902" t="s">
        <v>28</v>
      </c>
      <c r="S902" t="s">
        <v>2035</v>
      </c>
      <c r="T902" t="s">
        <v>2036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>
        <f t="shared" si="56"/>
        <v>156</v>
      </c>
      <c r="G903" s="5" t="s">
        <v>20</v>
      </c>
      <c r="H903">
        <v>159</v>
      </c>
      <c r="I903">
        <f t="shared" si="57"/>
        <v>55.01</v>
      </c>
      <c r="J903" t="s">
        <v>21</v>
      </c>
      <c r="K903" t="s">
        <v>22</v>
      </c>
      <c r="L903">
        <v>1531803600</v>
      </c>
      <c r="M903">
        <v>1534654800</v>
      </c>
      <c r="N903" s="19">
        <f t="shared" si="58"/>
        <v>43298.208333333328</v>
      </c>
      <c r="O903" s="19">
        <f t="shared" si="59"/>
        <v>43331.208333333328</v>
      </c>
      <c r="P903" t="b">
        <v>0</v>
      </c>
      <c r="Q903" t="b">
        <v>1</v>
      </c>
      <c r="R903" t="s">
        <v>23</v>
      </c>
      <c r="S903" t="s">
        <v>2033</v>
      </c>
      <c r="T903" t="s">
        <v>2034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>
        <f t="shared" si="56"/>
        <v>252</v>
      </c>
      <c r="G904" s="5" t="s">
        <v>20</v>
      </c>
      <c r="H904">
        <v>110</v>
      </c>
      <c r="I904">
        <f t="shared" si="57"/>
        <v>32.130000000000003</v>
      </c>
      <c r="J904" t="s">
        <v>21</v>
      </c>
      <c r="K904" t="s">
        <v>22</v>
      </c>
      <c r="L904">
        <v>1454133600</v>
      </c>
      <c r="M904">
        <v>1457762400</v>
      </c>
      <c r="N904" s="19">
        <f t="shared" si="58"/>
        <v>42399.25</v>
      </c>
      <c r="O904" s="19">
        <f t="shared" si="59"/>
        <v>42441.25</v>
      </c>
      <c r="P904" t="b">
        <v>0</v>
      </c>
      <c r="Q904" t="b">
        <v>0</v>
      </c>
      <c r="R904" t="s">
        <v>28</v>
      </c>
      <c r="S904" t="s">
        <v>2035</v>
      </c>
      <c r="T904" t="s">
        <v>2036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>
        <f t="shared" si="56"/>
        <v>2</v>
      </c>
      <c r="G905" s="6" t="s">
        <v>47</v>
      </c>
      <c r="H905">
        <v>14</v>
      </c>
      <c r="I905">
        <f t="shared" si="57"/>
        <v>50.64</v>
      </c>
      <c r="J905" t="s">
        <v>21</v>
      </c>
      <c r="K905" t="s">
        <v>22</v>
      </c>
      <c r="L905">
        <v>1336194000</v>
      </c>
      <c r="M905">
        <v>1337490000</v>
      </c>
      <c r="N905" s="19">
        <f t="shared" si="58"/>
        <v>41034.208333333336</v>
      </c>
      <c r="O905" s="19">
        <f t="shared" si="59"/>
        <v>41049.208333333336</v>
      </c>
      <c r="P905" t="b">
        <v>0</v>
      </c>
      <c r="Q905" t="b">
        <v>1</v>
      </c>
      <c r="R905" t="s">
        <v>68</v>
      </c>
      <c r="S905" t="s">
        <v>2045</v>
      </c>
      <c r="T905" t="s">
        <v>2046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>
        <f t="shared" si="56"/>
        <v>12</v>
      </c>
      <c r="G906" s="4" t="s">
        <v>14</v>
      </c>
      <c r="H906">
        <v>16</v>
      </c>
      <c r="I906">
        <f t="shared" si="57"/>
        <v>49.69</v>
      </c>
      <c r="J906" t="s">
        <v>21</v>
      </c>
      <c r="K906" t="s">
        <v>22</v>
      </c>
      <c r="L906">
        <v>1349326800</v>
      </c>
      <c r="M906">
        <v>1349672400</v>
      </c>
      <c r="N906" s="19">
        <f t="shared" si="58"/>
        <v>41186.208333333336</v>
      </c>
      <c r="O906" s="19">
        <f t="shared" si="59"/>
        <v>41190.208333333336</v>
      </c>
      <c r="P906" t="b">
        <v>0</v>
      </c>
      <c r="Q906" t="b">
        <v>0</v>
      </c>
      <c r="R906" t="s">
        <v>133</v>
      </c>
      <c r="S906" t="s">
        <v>2045</v>
      </c>
      <c r="T906" t="s">
        <v>2054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>
        <f t="shared" si="56"/>
        <v>164</v>
      </c>
      <c r="G907" s="5" t="s">
        <v>20</v>
      </c>
      <c r="H907">
        <v>236</v>
      </c>
      <c r="I907">
        <f t="shared" si="57"/>
        <v>54.89</v>
      </c>
      <c r="J907" t="s">
        <v>21</v>
      </c>
      <c r="K907" t="s">
        <v>22</v>
      </c>
      <c r="L907">
        <v>1379566800</v>
      </c>
      <c r="M907">
        <v>1379826000</v>
      </c>
      <c r="N907" s="19">
        <f t="shared" si="58"/>
        <v>41536.208333333336</v>
      </c>
      <c r="O907" s="19">
        <f t="shared" si="59"/>
        <v>41539.208333333336</v>
      </c>
      <c r="P907" t="b">
        <v>0</v>
      </c>
      <c r="Q907" t="b">
        <v>0</v>
      </c>
      <c r="R907" t="s">
        <v>33</v>
      </c>
      <c r="S907" t="s">
        <v>2037</v>
      </c>
      <c r="T907" t="s">
        <v>2038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>
        <f t="shared" si="56"/>
        <v>163</v>
      </c>
      <c r="G908" s="5" t="s">
        <v>20</v>
      </c>
      <c r="H908">
        <v>191</v>
      </c>
      <c r="I908">
        <f t="shared" si="57"/>
        <v>46.93</v>
      </c>
      <c r="J908" t="s">
        <v>21</v>
      </c>
      <c r="K908" t="s">
        <v>22</v>
      </c>
      <c r="L908">
        <v>1494651600</v>
      </c>
      <c r="M908">
        <v>1497762000</v>
      </c>
      <c r="N908" s="19">
        <f t="shared" si="58"/>
        <v>42868.208333333328</v>
      </c>
      <c r="O908" s="19">
        <f t="shared" si="59"/>
        <v>42904.208333333328</v>
      </c>
      <c r="P908" t="b">
        <v>1</v>
      </c>
      <c r="Q908" t="b">
        <v>1</v>
      </c>
      <c r="R908" t="s">
        <v>42</v>
      </c>
      <c r="S908" t="s">
        <v>2039</v>
      </c>
      <c r="T908" t="s">
        <v>2040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>
        <f t="shared" si="56"/>
        <v>20</v>
      </c>
      <c r="G909" s="4" t="s">
        <v>14</v>
      </c>
      <c r="H909">
        <v>41</v>
      </c>
      <c r="I909">
        <f t="shared" si="57"/>
        <v>44.95</v>
      </c>
      <c r="J909" t="s">
        <v>21</v>
      </c>
      <c r="K909" t="s">
        <v>22</v>
      </c>
      <c r="L909">
        <v>1303880400</v>
      </c>
      <c r="M909">
        <v>1304485200</v>
      </c>
      <c r="N909" s="19">
        <f t="shared" si="58"/>
        <v>40660.208333333336</v>
      </c>
      <c r="O909" s="19">
        <f t="shared" si="59"/>
        <v>40667.208333333336</v>
      </c>
      <c r="P909" t="b">
        <v>0</v>
      </c>
      <c r="Q909" t="b">
        <v>0</v>
      </c>
      <c r="R909" t="s">
        <v>33</v>
      </c>
      <c r="S909" t="s">
        <v>2037</v>
      </c>
      <c r="T909" t="s">
        <v>2038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>
        <f t="shared" si="56"/>
        <v>319</v>
      </c>
      <c r="G910" s="5" t="s">
        <v>20</v>
      </c>
      <c r="H910">
        <v>3934</v>
      </c>
      <c r="I910">
        <f t="shared" si="57"/>
        <v>31</v>
      </c>
      <c r="J910" t="s">
        <v>21</v>
      </c>
      <c r="K910" t="s">
        <v>22</v>
      </c>
      <c r="L910">
        <v>1335934800</v>
      </c>
      <c r="M910">
        <v>1336885200</v>
      </c>
      <c r="N910" s="19">
        <f t="shared" si="58"/>
        <v>41031.208333333336</v>
      </c>
      <c r="O910" s="19">
        <f t="shared" si="59"/>
        <v>41042.208333333336</v>
      </c>
      <c r="P910" t="b">
        <v>0</v>
      </c>
      <c r="Q910" t="b">
        <v>0</v>
      </c>
      <c r="R910" t="s">
        <v>89</v>
      </c>
      <c r="S910" t="s">
        <v>2048</v>
      </c>
      <c r="T910" t="s">
        <v>2049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>
        <f t="shared" si="56"/>
        <v>479</v>
      </c>
      <c r="G911" s="5" t="s">
        <v>20</v>
      </c>
      <c r="H911">
        <v>80</v>
      </c>
      <c r="I911">
        <f t="shared" si="57"/>
        <v>107.76</v>
      </c>
      <c r="J911" t="s">
        <v>15</v>
      </c>
      <c r="K911" t="s">
        <v>16</v>
      </c>
      <c r="L911">
        <v>1528088400</v>
      </c>
      <c r="M911">
        <v>1530421200</v>
      </c>
      <c r="N911" s="19">
        <f t="shared" si="58"/>
        <v>43255.208333333328</v>
      </c>
      <c r="O911" s="19">
        <f t="shared" si="59"/>
        <v>43282.208333333328</v>
      </c>
      <c r="P911" t="b">
        <v>0</v>
      </c>
      <c r="Q911" t="b">
        <v>1</v>
      </c>
      <c r="R911" t="s">
        <v>33</v>
      </c>
      <c r="S911" t="s">
        <v>2037</v>
      </c>
      <c r="T911" t="s">
        <v>2038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>
        <f t="shared" si="56"/>
        <v>20</v>
      </c>
      <c r="G912" s="7" t="s">
        <v>74</v>
      </c>
      <c r="H912">
        <v>296</v>
      </c>
      <c r="I912">
        <f t="shared" si="57"/>
        <v>102.08</v>
      </c>
      <c r="J912" t="s">
        <v>21</v>
      </c>
      <c r="K912" t="s">
        <v>22</v>
      </c>
      <c r="L912">
        <v>1421906400</v>
      </c>
      <c r="M912">
        <v>1421992800</v>
      </c>
      <c r="N912" s="19">
        <f t="shared" si="58"/>
        <v>42026.25</v>
      </c>
      <c r="O912" s="19">
        <f t="shared" si="59"/>
        <v>42027.25</v>
      </c>
      <c r="P912" t="b">
        <v>0</v>
      </c>
      <c r="Q912" t="b">
        <v>0</v>
      </c>
      <c r="R912" t="s">
        <v>33</v>
      </c>
      <c r="S912" t="s">
        <v>2037</v>
      </c>
      <c r="T912" t="s">
        <v>2038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>
        <f t="shared" si="56"/>
        <v>199</v>
      </c>
      <c r="G913" s="5" t="s">
        <v>20</v>
      </c>
      <c r="H913">
        <v>462</v>
      </c>
      <c r="I913">
        <f t="shared" si="57"/>
        <v>24.98</v>
      </c>
      <c r="J913" t="s">
        <v>21</v>
      </c>
      <c r="K913" t="s">
        <v>22</v>
      </c>
      <c r="L913">
        <v>1568005200</v>
      </c>
      <c r="M913">
        <v>1568178000</v>
      </c>
      <c r="N913" s="19">
        <f t="shared" si="58"/>
        <v>43717.208333333328</v>
      </c>
      <c r="O913" s="19">
        <f t="shared" si="59"/>
        <v>43719.208333333328</v>
      </c>
      <c r="P913" t="b">
        <v>1</v>
      </c>
      <c r="Q913" t="b">
        <v>0</v>
      </c>
      <c r="R913" t="s">
        <v>28</v>
      </c>
      <c r="S913" t="s">
        <v>2035</v>
      </c>
      <c r="T913" t="s">
        <v>2036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>
        <f t="shared" si="56"/>
        <v>795</v>
      </c>
      <c r="G914" s="5" t="s">
        <v>20</v>
      </c>
      <c r="H914">
        <v>179</v>
      </c>
      <c r="I914">
        <f t="shared" si="57"/>
        <v>79.94</v>
      </c>
      <c r="J914" t="s">
        <v>21</v>
      </c>
      <c r="K914" t="s">
        <v>22</v>
      </c>
      <c r="L914">
        <v>1346821200</v>
      </c>
      <c r="M914">
        <v>1347944400</v>
      </c>
      <c r="N914" s="19">
        <f t="shared" si="58"/>
        <v>41157.208333333336</v>
      </c>
      <c r="O914" s="19">
        <f t="shared" si="59"/>
        <v>41170.208333333336</v>
      </c>
      <c r="P914" t="b">
        <v>1</v>
      </c>
      <c r="Q914" t="b">
        <v>0</v>
      </c>
      <c r="R914" t="s">
        <v>53</v>
      </c>
      <c r="S914" t="s">
        <v>2039</v>
      </c>
      <c r="T914" t="s">
        <v>2042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>
        <f t="shared" si="56"/>
        <v>51</v>
      </c>
      <c r="G915" s="4" t="s">
        <v>14</v>
      </c>
      <c r="H915">
        <v>523</v>
      </c>
      <c r="I915">
        <f t="shared" si="57"/>
        <v>67.95</v>
      </c>
      <c r="J915" t="s">
        <v>26</v>
      </c>
      <c r="K915" t="s">
        <v>27</v>
      </c>
      <c r="L915">
        <v>1557637200</v>
      </c>
      <c r="M915">
        <v>1558760400</v>
      </c>
      <c r="N915" s="19">
        <f t="shared" si="58"/>
        <v>43597.208333333328</v>
      </c>
      <c r="O915" s="19">
        <f t="shared" si="59"/>
        <v>43610.208333333328</v>
      </c>
      <c r="P915" t="b">
        <v>0</v>
      </c>
      <c r="Q915" t="b">
        <v>0</v>
      </c>
      <c r="R915" t="s">
        <v>53</v>
      </c>
      <c r="S915" t="s">
        <v>2039</v>
      </c>
      <c r="T915" t="s">
        <v>2042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>
        <f t="shared" si="56"/>
        <v>57</v>
      </c>
      <c r="G916" s="4" t="s">
        <v>14</v>
      </c>
      <c r="H916">
        <v>141</v>
      </c>
      <c r="I916">
        <f t="shared" si="57"/>
        <v>26.07</v>
      </c>
      <c r="J916" t="s">
        <v>40</v>
      </c>
      <c r="K916" t="s">
        <v>41</v>
      </c>
      <c r="L916">
        <v>1375592400</v>
      </c>
      <c r="M916">
        <v>1376629200</v>
      </c>
      <c r="N916" s="19">
        <f t="shared" si="58"/>
        <v>41490.208333333336</v>
      </c>
      <c r="O916" s="19">
        <f t="shared" si="59"/>
        <v>41502.208333333336</v>
      </c>
      <c r="P916" t="b">
        <v>0</v>
      </c>
      <c r="Q916" t="b">
        <v>0</v>
      </c>
      <c r="R916" t="s">
        <v>33</v>
      </c>
      <c r="S916" t="s">
        <v>2037</v>
      </c>
      <c r="T916" t="s">
        <v>2038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>
        <f t="shared" si="56"/>
        <v>156</v>
      </c>
      <c r="G917" s="5" t="s">
        <v>20</v>
      </c>
      <c r="H917">
        <v>1866</v>
      </c>
      <c r="I917">
        <f t="shared" si="57"/>
        <v>105</v>
      </c>
      <c r="J917" t="s">
        <v>40</v>
      </c>
      <c r="K917" t="s">
        <v>41</v>
      </c>
      <c r="L917">
        <v>1503982800</v>
      </c>
      <c r="M917">
        <v>1504760400</v>
      </c>
      <c r="N917" s="19">
        <f t="shared" si="58"/>
        <v>42976.208333333328</v>
      </c>
      <c r="O917" s="19">
        <f t="shared" si="59"/>
        <v>42985.208333333328</v>
      </c>
      <c r="P917" t="b">
        <v>0</v>
      </c>
      <c r="Q917" t="b">
        <v>0</v>
      </c>
      <c r="R917" t="s">
        <v>269</v>
      </c>
      <c r="S917" t="s">
        <v>2039</v>
      </c>
      <c r="T917" t="s">
        <v>2058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>
        <f t="shared" si="56"/>
        <v>36</v>
      </c>
      <c r="G918" s="4" t="s">
        <v>14</v>
      </c>
      <c r="H918">
        <v>52</v>
      </c>
      <c r="I918">
        <f t="shared" si="57"/>
        <v>25.83</v>
      </c>
      <c r="J918" t="s">
        <v>21</v>
      </c>
      <c r="K918" t="s">
        <v>22</v>
      </c>
      <c r="L918">
        <v>1418882400</v>
      </c>
      <c r="M918">
        <v>1419660000</v>
      </c>
      <c r="N918" s="19">
        <f t="shared" si="58"/>
        <v>41991.25</v>
      </c>
      <c r="O918" s="19">
        <f t="shared" si="59"/>
        <v>42000.25</v>
      </c>
      <c r="P918" t="b">
        <v>0</v>
      </c>
      <c r="Q918" t="b">
        <v>0</v>
      </c>
      <c r="R918" t="s">
        <v>122</v>
      </c>
      <c r="S918" t="s">
        <v>2052</v>
      </c>
      <c r="T918" t="s">
        <v>2053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>
        <f t="shared" si="56"/>
        <v>58</v>
      </c>
      <c r="G919" s="6" t="s">
        <v>47</v>
      </c>
      <c r="H919">
        <v>27</v>
      </c>
      <c r="I919">
        <f t="shared" si="57"/>
        <v>77.67</v>
      </c>
      <c r="J919" t="s">
        <v>40</v>
      </c>
      <c r="K919" t="s">
        <v>41</v>
      </c>
      <c r="L919">
        <v>1309237200</v>
      </c>
      <c r="M919">
        <v>1311310800</v>
      </c>
      <c r="N919" s="19">
        <f t="shared" si="58"/>
        <v>40722.208333333336</v>
      </c>
      <c r="O919" s="19">
        <f t="shared" si="59"/>
        <v>40746.208333333336</v>
      </c>
      <c r="P919" t="b">
        <v>0</v>
      </c>
      <c r="Q919" t="b">
        <v>1</v>
      </c>
      <c r="R919" t="s">
        <v>100</v>
      </c>
      <c r="S919" t="s">
        <v>2039</v>
      </c>
      <c r="T919" t="s">
        <v>2050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>
        <f t="shared" si="56"/>
        <v>237</v>
      </c>
      <c r="G920" s="5" t="s">
        <v>20</v>
      </c>
      <c r="H920">
        <v>156</v>
      </c>
      <c r="I920">
        <f t="shared" si="57"/>
        <v>57.83</v>
      </c>
      <c r="J920" t="s">
        <v>98</v>
      </c>
      <c r="K920" t="s">
        <v>99</v>
      </c>
      <c r="L920">
        <v>1343365200</v>
      </c>
      <c r="M920">
        <v>1344315600</v>
      </c>
      <c r="N920" s="19">
        <f t="shared" si="58"/>
        <v>41117.208333333336</v>
      </c>
      <c r="O920" s="19">
        <f t="shared" si="59"/>
        <v>41128.208333333336</v>
      </c>
      <c r="P920" t="b">
        <v>0</v>
      </c>
      <c r="Q920" t="b">
        <v>0</v>
      </c>
      <c r="R920" t="s">
        <v>133</v>
      </c>
      <c r="S920" t="s">
        <v>2045</v>
      </c>
      <c r="T920" t="s">
        <v>2054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>
        <f t="shared" si="56"/>
        <v>59</v>
      </c>
      <c r="G921" s="4" t="s">
        <v>14</v>
      </c>
      <c r="H921">
        <v>225</v>
      </c>
      <c r="I921">
        <f t="shared" si="57"/>
        <v>92.96</v>
      </c>
      <c r="J921" t="s">
        <v>26</v>
      </c>
      <c r="K921" t="s">
        <v>27</v>
      </c>
      <c r="L921">
        <v>1507957200</v>
      </c>
      <c r="M921">
        <v>1510725600</v>
      </c>
      <c r="N921" s="19">
        <f t="shared" si="58"/>
        <v>43022.208333333328</v>
      </c>
      <c r="O921" s="19">
        <f t="shared" si="59"/>
        <v>43054.25</v>
      </c>
      <c r="P921" t="b">
        <v>0</v>
      </c>
      <c r="Q921" t="b">
        <v>1</v>
      </c>
      <c r="R921" t="s">
        <v>33</v>
      </c>
      <c r="S921" t="s">
        <v>2037</v>
      </c>
      <c r="T921" t="s">
        <v>2038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>
        <f t="shared" si="56"/>
        <v>183</v>
      </c>
      <c r="G922" s="5" t="s">
        <v>20</v>
      </c>
      <c r="H922">
        <v>255</v>
      </c>
      <c r="I922">
        <f t="shared" si="57"/>
        <v>37.950000000000003</v>
      </c>
      <c r="J922" t="s">
        <v>21</v>
      </c>
      <c r="K922" t="s">
        <v>22</v>
      </c>
      <c r="L922">
        <v>1549519200</v>
      </c>
      <c r="M922">
        <v>1551247200</v>
      </c>
      <c r="N922" s="19">
        <f t="shared" si="58"/>
        <v>43503.25</v>
      </c>
      <c r="O922" s="19">
        <f t="shared" si="59"/>
        <v>43523.25</v>
      </c>
      <c r="P922" t="b">
        <v>1</v>
      </c>
      <c r="Q922" t="b">
        <v>0</v>
      </c>
      <c r="R922" t="s">
        <v>71</v>
      </c>
      <c r="S922" t="s">
        <v>2039</v>
      </c>
      <c r="T922" t="s">
        <v>2047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>
        <f t="shared" si="56"/>
        <v>1</v>
      </c>
      <c r="G923" s="4" t="s">
        <v>14</v>
      </c>
      <c r="H923">
        <v>38</v>
      </c>
      <c r="I923">
        <f t="shared" si="57"/>
        <v>31.84</v>
      </c>
      <c r="J923" t="s">
        <v>21</v>
      </c>
      <c r="K923" t="s">
        <v>22</v>
      </c>
      <c r="L923">
        <v>1329026400</v>
      </c>
      <c r="M923">
        <v>1330236000</v>
      </c>
      <c r="N923" s="19">
        <f t="shared" si="58"/>
        <v>40951.25</v>
      </c>
      <c r="O923" s="19">
        <f t="shared" si="59"/>
        <v>40965.25</v>
      </c>
      <c r="P923" t="b">
        <v>0</v>
      </c>
      <c r="Q923" t="b">
        <v>0</v>
      </c>
      <c r="R923" t="s">
        <v>28</v>
      </c>
      <c r="S923" t="s">
        <v>2035</v>
      </c>
      <c r="T923" t="s">
        <v>2036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>
        <f t="shared" si="56"/>
        <v>176</v>
      </c>
      <c r="G924" s="5" t="s">
        <v>20</v>
      </c>
      <c r="H924">
        <v>2261</v>
      </c>
      <c r="I924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s="19">
        <f t="shared" si="58"/>
        <v>43443.25</v>
      </c>
      <c r="O924" s="19">
        <f t="shared" si="59"/>
        <v>43452.25</v>
      </c>
      <c r="P924" t="b">
        <v>0</v>
      </c>
      <c r="Q924" t="b">
        <v>1</v>
      </c>
      <c r="R924" t="s">
        <v>319</v>
      </c>
      <c r="S924" t="s">
        <v>2033</v>
      </c>
      <c r="T924" t="s">
        <v>2060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>
        <f t="shared" si="56"/>
        <v>238</v>
      </c>
      <c r="G925" s="5" t="s">
        <v>20</v>
      </c>
      <c r="H925">
        <v>40</v>
      </c>
      <c r="I925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s="19">
        <f t="shared" si="58"/>
        <v>40373.208333333336</v>
      </c>
      <c r="O925" s="19">
        <f t="shared" si="59"/>
        <v>40374.208333333336</v>
      </c>
      <c r="P925" t="b">
        <v>0</v>
      </c>
      <c r="Q925" t="b">
        <v>0</v>
      </c>
      <c r="R925" t="s">
        <v>33</v>
      </c>
      <c r="S925" t="s">
        <v>2037</v>
      </c>
      <c r="T925" t="s">
        <v>2038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>
        <f t="shared" si="56"/>
        <v>488</v>
      </c>
      <c r="G926" s="5" t="s">
        <v>20</v>
      </c>
      <c r="H926">
        <v>2289</v>
      </c>
      <c r="I926">
        <f t="shared" si="57"/>
        <v>84.01</v>
      </c>
      <c r="J926" t="s">
        <v>107</v>
      </c>
      <c r="K926" t="s">
        <v>108</v>
      </c>
      <c r="L926">
        <v>1572498000</v>
      </c>
      <c r="M926">
        <v>1573452000</v>
      </c>
      <c r="N926" s="19">
        <f t="shared" si="58"/>
        <v>43769.208333333328</v>
      </c>
      <c r="O926" s="19">
        <f t="shared" si="59"/>
        <v>43780.25</v>
      </c>
      <c r="P926" t="b">
        <v>0</v>
      </c>
      <c r="Q926" t="b">
        <v>0</v>
      </c>
      <c r="R926" t="s">
        <v>33</v>
      </c>
      <c r="S926" t="s">
        <v>2037</v>
      </c>
      <c r="T926" t="s">
        <v>2038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>
        <f t="shared" si="56"/>
        <v>224</v>
      </c>
      <c r="G927" s="5" t="s">
        <v>20</v>
      </c>
      <c r="H927">
        <v>65</v>
      </c>
      <c r="I927">
        <f t="shared" si="57"/>
        <v>103.42</v>
      </c>
      <c r="J927" t="s">
        <v>21</v>
      </c>
      <c r="K927" t="s">
        <v>22</v>
      </c>
      <c r="L927">
        <v>1506056400</v>
      </c>
      <c r="M927">
        <v>1507093200</v>
      </c>
      <c r="N927" s="19">
        <f t="shared" si="58"/>
        <v>43000.208333333328</v>
      </c>
      <c r="O927" s="19">
        <f t="shared" si="59"/>
        <v>43012.208333333328</v>
      </c>
      <c r="P927" t="b">
        <v>0</v>
      </c>
      <c r="Q927" t="b">
        <v>0</v>
      </c>
      <c r="R927" t="s">
        <v>33</v>
      </c>
      <c r="S927" t="s">
        <v>2037</v>
      </c>
      <c r="T927" t="s">
        <v>2038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>
        <f t="shared" si="56"/>
        <v>18</v>
      </c>
      <c r="G928" s="4" t="s">
        <v>14</v>
      </c>
      <c r="H928">
        <v>15</v>
      </c>
      <c r="I928">
        <f t="shared" si="57"/>
        <v>105.13</v>
      </c>
      <c r="J928" t="s">
        <v>21</v>
      </c>
      <c r="K928" t="s">
        <v>22</v>
      </c>
      <c r="L928">
        <v>1463029200</v>
      </c>
      <c r="M928">
        <v>1463374800</v>
      </c>
      <c r="N928" s="19">
        <f t="shared" si="58"/>
        <v>42502.208333333328</v>
      </c>
      <c r="O928" s="19">
        <f t="shared" si="59"/>
        <v>42506.208333333328</v>
      </c>
      <c r="P928" t="b">
        <v>0</v>
      </c>
      <c r="Q928" t="b">
        <v>0</v>
      </c>
      <c r="R928" t="s">
        <v>17</v>
      </c>
      <c r="S928" t="s">
        <v>2031</v>
      </c>
      <c r="T928" t="s">
        <v>2032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>
        <f t="shared" si="56"/>
        <v>46</v>
      </c>
      <c r="G929" s="4" t="s">
        <v>14</v>
      </c>
      <c r="H929">
        <v>37</v>
      </c>
      <c r="I929">
        <f t="shared" si="57"/>
        <v>89.22</v>
      </c>
      <c r="J929" t="s">
        <v>21</v>
      </c>
      <c r="K929" t="s">
        <v>22</v>
      </c>
      <c r="L929">
        <v>1342069200</v>
      </c>
      <c r="M929">
        <v>1344574800</v>
      </c>
      <c r="N929" s="19">
        <f t="shared" si="58"/>
        <v>41102.208333333336</v>
      </c>
      <c r="O929" s="19">
        <f t="shared" si="59"/>
        <v>41131.208333333336</v>
      </c>
      <c r="P929" t="b">
        <v>0</v>
      </c>
      <c r="Q929" t="b">
        <v>0</v>
      </c>
      <c r="R929" t="s">
        <v>33</v>
      </c>
      <c r="S929" t="s">
        <v>2037</v>
      </c>
      <c r="T929" t="s">
        <v>2038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>
        <f t="shared" si="56"/>
        <v>117</v>
      </c>
      <c r="G930" s="5" t="s">
        <v>20</v>
      </c>
      <c r="H930">
        <v>3777</v>
      </c>
      <c r="I930">
        <f t="shared" si="57"/>
        <v>52</v>
      </c>
      <c r="J930" t="s">
        <v>107</v>
      </c>
      <c r="K930" t="s">
        <v>108</v>
      </c>
      <c r="L930">
        <v>1388296800</v>
      </c>
      <c r="M930">
        <v>1389074400</v>
      </c>
      <c r="N930" s="19">
        <f t="shared" si="58"/>
        <v>41637.25</v>
      </c>
      <c r="O930" s="19">
        <f t="shared" si="59"/>
        <v>41646.25</v>
      </c>
      <c r="P930" t="b">
        <v>0</v>
      </c>
      <c r="Q930" t="b">
        <v>0</v>
      </c>
      <c r="R930" t="s">
        <v>28</v>
      </c>
      <c r="S930" t="s">
        <v>2035</v>
      </c>
      <c r="T930" t="s">
        <v>2036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>
        <f t="shared" si="56"/>
        <v>217</v>
      </c>
      <c r="G931" s="5" t="s">
        <v>20</v>
      </c>
      <c r="H931">
        <v>184</v>
      </c>
      <c r="I931">
        <f t="shared" si="57"/>
        <v>64.959999999999994</v>
      </c>
      <c r="J931" t="s">
        <v>40</v>
      </c>
      <c r="K931" t="s">
        <v>41</v>
      </c>
      <c r="L931">
        <v>1493787600</v>
      </c>
      <c r="M931">
        <v>1494997200</v>
      </c>
      <c r="N931" s="19">
        <f t="shared" si="58"/>
        <v>42858.208333333328</v>
      </c>
      <c r="O931" s="19">
        <f t="shared" si="59"/>
        <v>42872.208333333328</v>
      </c>
      <c r="P931" t="b">
        <v>0</v>
      </c>
      <c r="Q931" t="b">
        <v>0</v>
      </c>
      <c r="R931" t="s">
        <v>33</v>
      </c>
      <c r="S931" t="s">
        <v>2037</v>
      </c>
      <c r="T931" t="s">
        <v>2038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>
        <f t="shared" si="56"/>
        <v>112</v>
      </c>
      <c r="G932" s="5" t="s">
        <v>20</v>
      </c>
      <c r="H932">
        <v>85</v>
      </c>
      <c r="I932">
        <f t="shared" si="57"/>
        <v>46.24</v>
      </c>
      <c r="J932" t="s">
        <v>21</v>
      </c>
      <c r="K932" t="s">
        <v>22</v>
      </c>
      <c r="L932">
        <v>1424844000</v>
      </c>
      <c r="M932">
        <v>1425448800</v>
      </c>
      <c r="N932" s="19">
        <f t="shared" si="58"/>
        <v>42060.25</v>
      </c>
      <c r="O932" s="19">
        <f t="shared" si="59"/>
        <v>42067.25</v>
      </c>
      <c r="P932" t="b">
        <v>0</v>
      </c>
      <c r="Q932" t="b">
        <v>1</v>
      </c>
      <c r="R932" t="s">
        <v>33</v>
      </c>
      <c r="S932" t="s">
        <v>2037</v>
      </c>
      <c r="T932" t="s">
        <v>2038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>
        <f t="shared" si="56"/>
        <v>73</v>
      </c>
      <c r="G933" s="4" t="s">
        <v>14</v>
      </c>
      <c r="H933">
        <v>112</v>
      </c>
      <c r="I933">
        <f t="shared" si="57"/>
        <v>51.15</v>
      </c>
      <c r="J933" t="s">
        <v>21</v>
      </c>
      <c r="K933" t="s">
        <v>22</v>
      </c>
      <c r="L933">
        <v>1403931600</v>
      </c>
      <c r="M933">
        <v>1404104400</v>
      </c>
      <c r="N933" s="19">
        <f t="shared" si="58"/>
        <v>41818.208333333336</v>
      </c>
      <c r="O933" s="19">
        <f t="shared" si="59"/>
        <v>41820.208333333336</v>
      </c>
      <c r="P933" t="b">
        <v>0</v>
      </c>
      <c r="Q933" t="b">
        <v>1</v>
      </c>
      <c r="R933" t="s">
        <v>33</v>
      </c>
      <c r="S933" t="s">
        <v>2037</v>
      </c>
      <c r="T933" t="s">
        <v>2038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>
        <f t="shared" si="56"/>
        <v>212</v>
      </c>
      <c r="G934" s="5" t="s">
        <v>20</v>
      </c>
      <c r="H934">
        <v>144</v>
      </c>
      <c r="I934">
        <f t="shared" si="57"/>
        <v>33.909999999999997</v>
      </c>
      <c r="J934" t="s">
        <v>21</v>
      </c>
      <c r="K934" t="s">
        <v>22</v>
      </c>
      <c r="L934">
        <v>1394514000</v>
      </c>
      <c r="M934">
        <v>1394773200</v>
      </c>
      <c r="N934" s="19">
        <f t="shared" si="58"/>
        <v>41709.208333333336</v>
      </c>
      <c r="O934" s="19">
        <f t="shared" si="59"/>
        <v>41712.208333333336</v>
      </c>
      <c r="P934" t="b">
        <v>0</v>
      </c>
      <c r="Q934" t="b">
        <v>0</v>
      </c>
      <c r="R934" t="s">
        <v>23</v>
      </c>
      <c r="S934" t="s">
        <v>2033</v>
      </c>
      <c r="T934" t="s">
        <v>2034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>
        <f t="shared" si="56"/>
        <v>240</v>
      </c>
      <c r="G935" s="5" t="s">
        <v>20</v>
      </c>
      <c r="H935">
        <v>1902</v>
      </c>
      <c r="I935">
        <f t="shared" si="57"/>
        <v>92.02</v>
      </c>
      <c r="J935" t="s">
        <v>21</v>
      </c>
      <c r="K935" t="s">
        <v>22</v>
      </c>
      <c r="L935">
        <v>1365397200</v>
      </c>
      <c r="M935">
        <v>1366520400</v>
      </c>
      <c r="N935" s="19">
        <f t="shared" si="58"/>
        <v>41372.208333333336</v>
      </c>
      <c r="O935" s="19">
        <f t="shared" si="59"/>
        <v>41385.208333333336</v>
      </c>
      <c r="P935" t="b">
        <v>0</v>
      </c>
      <c r="Q935" t="b">
        <v>0</v>
      </c>
      <c r="R935" t="s">
        <v>33</v>
      </c>
      <c r="S935" t="s">
        <v>2037</v>
      </c>
      <c r="T935" t="s">
        <v>2038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>
        <f t="shared" si="56"/>
        <v>182</v>
      </c>
      <c r="G936" s="5" t="s">
        <v>20</v>
      </c>
      <c r="H936">
        <v>105</v>
      </c>
      <c r="I936">
        <f t="shared" si="57"/>
        <v>107.43</v>
      </c>
      <c r="J936" t="s">
        <v>21</v>
      </c>
      <c r="K936" t="s">
        <v>22</v>
      </c>
      <c r="L936">
        <v>1456120800</v>
      </c>
      <c r="M936">
        <v>1456639200</v>
      </c>
      <c r="N936" s="19">
        <f t="shared" si="58"/>
        <v>42422.25</v>
      </c>
      <c r="O936" s="19">
        <f t="shared" si="59"/>
        <v>42428.25</v>
      </c>
      <c r="P936" t="b">
        <v>0</v>
      </c>
      <c r="Q936" t="b">
        <v>0</v>
      </c>
      <c r="R936" t="s">
        <v>33</v>
      </c>
      <c r="S936" t="s">
        <v>2037</v>
      </c>
      <c r="T936" t="s">
        <v>2038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>
        <f t="shared" si="56"/>
        <v>164</v>
      </c>
      <c r="G937" s="5" t="s">
        <v>20</v>
      </c>
      <c r="H937">
        <v>132</v>
      </c>
      <c r="I937">
        <f t="shared" si="57"/>
        <v>75.849999999999994</v>
      </c>
      <c r="J937" t="s">
        <v>21</v>
      </c>
      <c r="K937" t="s">
        <v>22</v>
      </c>
      <c r="L937">
        <v>1437714000</v>
      </c>
      <c r="M937">
        <v>1438318800</v>
      </c>
      <c r="N937" s="19">
        <f t="shared" si="58"/>
        <v>42209.208333333328</v>
      </c>
      <c r="O937" s="19">
        <f t="shared" si="59"/>
        <v>42216.208333333328</v>
      </c>
      <c r="P937" t="b">
        <v>0</v>
      </c>
      <c r="Q937" t="b">
        <v>0</v>
      </c>
      <c r="R937" t="s">
        <v>33</v>
      </c>
      <c r="S937" t="s">
        <v>2037</v>
      </c>
      <c r="T937" t="s">
        <v>2038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>
        <f t="shared" si="56"/>
        <v>2</v>
      </c>
      <c r="G938" s="4" t="s">
        <v>14</v>
      </c>
      <c r="H938">
        <v>21</v>
      </c>
      <c r="I938">
        <f t="shared" si="57"/>
        <v>80.48</v>
      </c>
      <c r="J938" t="s">
        <v>21</v>
      </c>
      <c r="K938" t="s">
        <v>22</v>
      </c>
      <c r="L938">
        <v>1563771600</v>
      </c>
      <c r="M938">
        <v>1564030800</v>
      </c>
      <c r="N938" s="19">
        <f t="shared" si="58"/>
        <v>43668.208333333328</v>
      </c>
      <c r="O938" s="19">
        <f t="shared" si="59"/>
        <v>43671.208333333328</v>
      </c>
      <c r="P938" t="b">
        <v>1</v>
      </c>
      <c r="Q938" t="b">
        <v>0</v>
      </c>
      <c r="R938" t="s">
        <v>33</v>
      </c>
      <c r="S938" t="s">
        <v>2037</v>
      </c>
      <c r="T938" t="s">
        <v>2038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>
        <f t="shared" si="56"/>
        <v>50</v>
      </c>
      <c r="G939" s="7" t="s">
        <v>74</v>
      </c>
      <c r="H939">
        <v>976</v>
      </c>
      <c r="I939">
        <f t="shared" si="57"/>
        <v>86.98</v>
      </c>
      <c r="J939" t="s">
        <v>21</v>
      </c>
      <c r="K939" t="s">
        <v>22</v>
      </c>
      <c r="L939">
        <v>1448517600</v>
      </c>
      <c r="M939">
        <v>1449295200</v>
      </c>
      <c r="N939" s="19">
        <f t="shared" si="58"/>
        <v>42334.25</v>
      </c>
      <c r="O939" s="19">
        <f t="shared" si="59"/>
        <v>42343.25</v>
      </c>
      <c r="P939" t="b">
        <v>0</v>
      </c>
      <c r="Q939" t="b">
        <v>0</v>
      </c>
      <c r="R939" t="s">
        <v>42</v>
      </c>
      <c r="S939" t="s">
        <v>2039</v>
      </c>
      <c r="T939" t="s">
        <v>2040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>
        <f t="shared" si="56"/>
        <v>110</v>
      </c>
      <c r="G940" s="5" t="s">
        <v>20</v>
      </c>
      <c r="H940">
        <v>96</v>
      </c>
      <c r="I940">
        <f t="shared" si="57"/>
        <v>105.14</v>
      </c>
      <c r="J940" t="s">
        <v>21</v>
      </c>
      <c r="K940" t="s">
        <v>22</v>
      </c>
      <c r="L940">
        <v>1528779600</v>
      </c>
      <c r="M940">
        <v>1531890000</v>
      </c>
      <c r="N940" s="19">
        <f t="shared" si="58"/>
        <v>43263.208333333328</v>
      </c>
      <c r="O940" s="19">
        <f t="shared" si="59"/>
        <v>43299.208333333328</v>
      </c>
      <c r="P940" t="b">
        <v>0</v>
      </c>
      <c r="Q940" t="b">
        <v>1</v>
      </c>
      <c r="R940" t="s">
        <v>119</v>
      </c>
      <c r="S940" t="s">
        <v>2045</v>
      </c>
      <c r="T940" t="s">
        <v>2051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>
        <f t="shared" si="56"/>
        <v>49</v>
      </c>
      <c r="G941" s="4" t="s">
        <v>14</v>
      </c>
      <c r="H941">
        <v>67</v>
      </c>
      <c r="I941">
        <f t="shared" si="57"/>
        <v>57.3</v>
      </c>
      <c r="J941" t="s">
        <v>21</v>
      </c>
      <c r="K941" t="s">
        <v>22</v>
      </c>
      <c r="L941">
        <v>1304744400</v>
      </c>
      <c r="M941">
        <v>1306213200</v>
      </c>
      <c r="N941" s="19">
        <f t="shared" si="58"/>
        <v>40670.208333333336</v>
      </c>
      <c r="O941" s="19">
        <f t="shared" si="59"/>
        <v>40687.208333333336</v>
      </c>
      <c r="P941" t="b">
        <v>0</v>
      </c>
      <c r="Q941" t="b">
        <v>1</v>
      </c>
      <c r="R941" t="s">
        <v>89</v>
      </c>
      <c r="S941" t="s">
        <v>2048</v>
      </c>
      <c r="T941" t="s">
        <v>2049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>
        <f t="shared" si="56"/>
        <v>62</v>
      </c>
      <c r="G942" s="6" t="s">
        <v>47</v>
      </c>
      <c r="H942">
        <v>66</v>
      </c>
      <c r="I942">
        <f t="shared" si="57"/>
        <v>93.35</v>
      </c>
      <c r="J942" t="s">
        <v>15</v>
      </c>
      <c r="K942" t="s">
        <v>16</v>
      </c>
      <c r="L942">
        <v>1354341600</v>
      </c>
      <c r="M942">
        <v>1356242400</v>
      </c>
      <c r="N942" s="19">
        <f t="shared" si="58"/>
        <v>41244.25</v>
      </c>
      <c r="O942" s="19">
        <f t="shared" si="59"/>
        <v>41266.25</v>
      </c>
      <c r="P942" t="b">
        <v>0</v>
      </c>
      <c r="Q942" t="b">
        <v>0</v>
      </c>
      <c r="R942" t="s">
        <v>28</v>
      </c>
      <c r="S942" t="s">
        <v>2035</v>
      </c>
      <c r="T942" t="s">
        <v>2036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>
        <f t="shared" si="56"/>
        <v>13</v>
      </c>
      <c r="G943" s="4" t="s">
        <v>14</v>
      </c>
      <c r="H943">
        <v>78</v>
      </c>
      <c r="I943">
        <f t="shared" si="57"/>
        <v>71.989999999999995</v>
      </c>
      <c r="J943" t="s">
        <v>21</v>
      </c>
      <c r="K943" t="s">
        <v>22</v>
      </c>
      <c r="L943">
        <v>1294552800</v>
      </c>
      <c r="M943">
        <v>1297576800</v>
      </c>
      <c r="N943" s="19">
        <f t="shared" si="58"/>
        <v>40552.25</v>
      </c>
      <c r="O943" s="19">
        <f t="shared" si="59"/>
        <v>40587.25</v>
      </c>
      <c r="P943" t="b">
        <v>1</v>
      </c>
      <c r="Q943" t="b">
        <v>0</v>
      </c>
      <c r="R943" t="s">
        <v>33</v>
      </c>
      <c r="S943" t="s">
        <v>2037</v>
      </c>
      <c r="T943" t="s">
        <v>2038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>
        <f t="shared" si="56"/>
        <v>65</v>
      </c>
      <c r="G944" s="4" t="s">
        <v>14</v>
      </c>
      <c r="H944">
        <v>67</v>
      </c>
      <c r="I944">
        <f t="shared" si="57"/>
        <v>92.61</v>
      </c>
      <c r="J944" t="s">
        <v>26</v>
      </c>
      <c r="K944" t="s">
        <v>27</v>
      </c>
      <c r="L944">
        <v>1295935200</v>
      </c>
      <c r="M944">
        <v>1296194400</v>
      </c>
      <c r="N944" s="19">
        <f t="shared" si="58"/>
        <v>40568.25</v>
      </c>
      <c r="O944" s="19">
        <f t="shared" si="59"/>
        <v>40571.25</v>
      </c>
      <c r="P944" t="b">
        <v>0</v>
      </c>
      <c r="Q944" t="b">
        <v>0</v>
      </c>
      <c r="R944" t="s">
        <v>33</v>
      </c>
      <c r="S944" t="s">
        <v>2037</v>
      </c>
      <c r="T944" t="s">
        <v>2038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>
        <f t="shared" si="56"/>
        <v>160</v>
      </c>
      <c r="G945" s="5" t="s">
        <v>20</v>
      </c>
      <c r="H945">
        <v>114</v>
      </c>
      <c r="I945">
        <f t="shared" si="57"/>
        <v>104.99</v>
      </c>
      <c r="J945" t="s">
        <v>21</v>
      </c>
      <c r="K945" t="s">
        <v>22</v>
      </c>
      <c r="L945">
        <v>1411534800</v>
      </c>
      <c r="M945">
        <v>1414558800</v>
      </c>
      <c r="N945" s="19">
        <f t="shared" si="58"/>
        <v>41906.208333333336</v>
      </c>
      <c r="O945" s="19">
        <f t="shared" si="59"/>
        <v>41941.208333333336</v>
      </c>
      <c r="P945" t="b">
        <v>0</v>
      </c>
      <c r="Q945" t="b">
        <v>0</v>
      </c>
      <c r="R945" t="s">
        <v>17</v>
      </c>
      <c r="S945" t="s">
        <v>2031</v>
      </c>
      <c r="T945" t="s">
        <v>2032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>
        <f t="shared" si="56"/>
        <v>81</v>
      </c>
      <c r="G946" s="4" t="s">
        <v>14</v>
      </c>
      <c r="H946">
        <v>263</v>
      </c>
      <c r="I946">
        <f t="shared" si="57"/>
        <v>30.96</v>
      </c>
      <c r="J946" t="s">
        <v>26</v>
      </c>
      <c r="K946" t="s">
        <v>27</v>
      </c>
      <c r="L946">
        <v>1486706400</v>
      </c>
      <c r="M946">
        <v>1488348000</v>
      </c>
      <c r="N946" s="19">
        <f t="shared" si="58"/>
        <v>42776.25</v>
      </c>
      <c r="O946" s="19">
        <f t="shared" si="59"/>
        <v>42795.25</v>
      </c>
      <c r="P946" t="b">
        <v>0</v>
      </c>
      <c r="Q946" t="b">
        <v>0</v>
      </c>
      <c r="R946" t="s">
        <v>122</v>
      </c>
      <c r="S946" t="s">
        <v>2052</v>
      </c>
      <c r="T946" t="s">
        <v>2053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>
        <f t="shared" si="56"/>
        <v>32</v>
      </c>
      <c r="G947" s="4" t="s">
        <v>14</v>
      </c>
      <c r="H947">
        <v>1691</v>
      </c>
      <c r="I947">
        <f t="shared" si="57"/>
        <v>33</v>
      </c>
      <c r="J947" t="s">
        <v>21</v>
      </c>
      <c r="K947" t="s">
        <v>22</v>
      </c>
      <c r="L947">
        <v>1333602000</v>
      </c>
      <c r="M947">
        <v>1334898000</v>
      </c>
      <c r="N947" s="19">
        <f t="shared" si="58"/>
        <v>41004.208333333336</v>
      </c>
      <c r="O947" s="19">
        <f t="shared" si="59"/>
        <v>41019.208333333336</v>
      </c>
      <c r="P947" t="b">
        <v>1</v>
      </c>
      <c r="Q947" t="b">
        <v>0</v>
      </c>
      <c r="R947" t="s">
        <v>122</v>
      </c>
      <c r="S947" t="s">
        <v>2052</v>
      </c>
      <c r="T947" t="s">
        <v>2053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>
        <f t="shared" si="56"/>
        <v>10</v>
      </c>
      <c r="G948" s="4" t="s">
        <v>14</v>
      </c>
      <c r="H948">
        <v>181</v>
      </c>
      <c r="I948">
        <f t="shared" si="57"/>
        <v>84.19</v>
      </c>
      <c r="J948" t="s">
        <v>21</v>
      </c>
      <c r="K948" t="s">
        <v>22</v>
      </c>
      <c r="L948">
        <v>1308200400</v>
      </c>
      <c r="M948">
        <v>1308373200</v>
      </c>
      <c r="N948" s="19">
        <f t="shared" si="58"/>
        <v>40710.208333333336</v>
      </c>
      <c r="O948" s="19">
        <f t="shared" si="59"/>
        <v>40712.208333333336</v>
      </c>
      <c r="P948" t="b">
        <v>0</v>
      </c>
      <c r="Q948" t="b">
        <v>0</v>
      </c>
      <c r="R948" t="s">
        <v>33</v>
      </c>
      <c r="S948" t="s">
        <v>2037</v>
      </c>
      <c r="T948" t="s">
        <v>2038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>
        <f t="shared" si="56"/>
        <v>27</v>
      </c>
      <c r="G949" s="4" t="s">
        <v>14</v>
      </c>
      <c r="H949">
        <v>13</v>
      </c>
      <c r="I949">
        <f t="shared" si="57"/>
        <v>73.92</v>
      </c>
      <c r="J949" t="s">
        <v>21</v>
      </c>
      <c r="K949" t="s">
        <v>22</v>
      </c>
      <c r="L949">
        <v>1411707600</v>
      </c>
      <c r="M949">
        <v>1412312400</v>
      </c>
      <c r="N949" s="19">
        <f t="shared" si="58"/>
        <v>41908.208333333336</v>
      </c>
      <c r="O949" s="19">
        <f t="shared" si="59"/>
        <v>41915.208333333336</v>
      </c>
      <c r="P949" t="b">
        <v>0</v>
      </c>
      <c r="Q949" t="b">
        <v>0</v>
      </c>
      <c r="R949" t="s">
        <v>33</v>
      </c>
      <c r="S949" t="s">
        <v>2037</v>
      </c>
      <c r="T949" t="s">
        <v>2038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>
        <f t="shared" si="56"/>
        <v>63</v>
      </c>
      <c r="G950" s="7" t="s">
        <v>74</v>
      </c>
      <c r="H950">
        <v>160</v>
      </c>
      <c r="I950">
        <f t="shared" si="57"/>
        <v>36.99</v>
      </c>
      <c r="J950" t="s">
        <v>21</v>
      </c>
      <c r="K950" t="s">
        <v>22</v>
      </c>
      <c r="L950">
        <v>1418364000</v>
      </c>
      <c r="M950">
        <v>1419228000</v>
      </c>
      <c r="N950" s="19">
        <f t="shared" si="58"/>
        <v>41985.25</v>
      </c>
      <c r="O950" s="19">
        <f t="shared" si="59"/>
        <v>41995.25</v>
      </c>
      <c r="P950" t="b">
        <v>1</v>
      </c>
      <c r="Q950" t="b">
        <v>1</v>
      </c>
      <c r="R950" t="s">
        <v>42</v>
      </c>
      <c r="S950" t="s">
        <v>2039</v>
      </c>
      <c r="T950" t="s">
        <v>2040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>
        <f t="shared" si="56"/>
        <v>161</v>
      </c>
      <c r="G951" s="5" t="s">
        <v>20</v>
      </c>
      <c r="H951">
        <v>203</v>
      </c>
      <c r="I951">
        <f t="shared" si="57"/>
        <v>46.9</v>
      </c>
      <c r="J951" t="s">
        <v>21</v>
      </c>
      <c r="K951" t="s">
        <v>22</v>
      </c>
      <c r="L951">
        <v>1429333200</v>
      </c>
      <c r="M951">
        <v>1430974800</v>
      </c>
      <c r="N951" s="19">
        <f t="shared" si="58"/>
        <v>42112.208333333328</v>
      </c>
      <c r="O951" s="19">
        <f t="shared" si="59"/>
        <v>42131.208333333328</v>
      </c>
      <c r="P951" t="b">
        <v>0</v>
      </c>
      <c r="Q951" t="b">
        <v>0</v>
      </c>
      <c r="R951" t="s">
        <v>28</v>
      </c>
      <c r="S951" t="s">
        <v>2035</v>
      </c>
      <c r="T951" t="s">
        <v>2036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>
        <f t="shared" si="56"/>
        <v>5</v>
      </c>
      <c r="G952" s="4" t="s">
        <v>14</v>
      </c>
      <c r="H952">
        <v>1</v>
      </c>
      <c r="I952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s="19">
        <f t="shared" si="58"/>
        <v>43571.208333333328</v>
      </c>
      <c r="O952" s="19">
        <f t="shared" si="59"/>
        <v>43576.208333333328</v>
      </c>
      <c r="P952" t="b">
        <v>0</v>
      </c>
      <c r="Q952" t="b">
        <v>1</v>
      </c>
      <c r="R952" t="s">
        <v>33</v>
      </c>
      <c r="S952" t="s">
        <v>2037</v>
      </c>
      <c r="T952" t="s">
        <v>2038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>
        <f t="shared" si="56"/>
        <v>1097</v>
      </c>
      <c r="G953" s="5" t="s">
        <v>20</v>
      </c>
      <c r="H953">
        <v>1559</v>
      </c>
      <c r="I953">
        <f t="shared" si="57"/>
        <v>102.02</v>
      </c>
      <c r="J953" t="s">
        <v>21</v>
      </c>
      <c r="K953" t="s">
        <v>22</v>
      </c>
      <c r="L953">
        <v>1482732000</v>
      </c>
      <c r="M953">
        <v>1482818400</v>
      </c>
      <c r="N953" s="19">
        <f t="shared" si="58"/>
        <v>42730.25</v>
      </c>
      <c r="O953" s="19">
        <f t="shared" si="59"/>
        <v>42731.25</v>
      </c>
      <c r="P953" t="b">
        <v>0</v>
      </c>
      <c r="Q953" t="b">
        <v>1</v>
      </c>
      <c r="R953" t="s">
        <v>23</v>
      </c>
      <c r="S953" t="s">
        <v>2033</v>
      </c>
      <c r="T953" t="s">
        <v>2034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>
        <f t="shared" si="56"/>
        <v>70</v>
      </c>
      <c r="G954" s="7" t="s">
        <v>74</v>
      </c>
      <c r="H954">
        <v>2266</v>
      </c>
      <c r="I954">
        <f t="shared" si="57"/>
        <v>45.01</v>
      </c>
      <c r="J954" t="s">
        <v>21</v>
      </c>
      <c r="K954" t="s">
        <v>22</v>
      </c>
      <c r="L954">
        <v>1470718800</v>
      </c>
      <c r="M954">
        <v>1471928400</v>
      </c>
      <c r="N954" s="19">
        <f t="shared" si="58"/>
        <v>42591.208333333328</v>
      </c>
      <c r="O954" s="19">
        <f t="shared" si="59"/>
        <v>42605.208333333328</v>
      </c>
      <c r="P954" t="b">
        <v>0</v>
      </c>
      <c r="Q954" t="b">
        <v>0</v>
      </c>
      <c r="R954" t="s">
        <v>42</v>
      </c>
      <c r="S954" t="s">
        <v>2039</v>
      </c>
      <c r="T954" t="s">
        <v>2040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>
        <f t="shared" si="56"/>
        <v>60</v>
      </c>
      <c r="G955" s="4" t="s">
        <v>14</v>
      </c>
      <c r="H955">
        <v>21</v>
      </c>
      <c r="I955">
        <f t="shared" si="57"/>
        <v>94.29</v>
      </c>
      <c r="J955" t="s">
        <v>21</v>
      </c>
      <c r="K955" t="s">
        <v>22</v>
      </c>
      <c r="L955">
        <v>1450591200</v>
      </c>
      <c r="M955">
        <v>1453701600</v>
      </c>
      <c r="N955" s="19">
        <f t="shared" si="58"/>
        <v>42358.25</v>
      </c>
      <c r="O955" s="19">
        <f t="shared" si="59"/>
        <v>42394.25</v>
      </c>
      <c r="P955" t="b">
        <v>0</v>
      </c>
      <c r="Q955" t="b">
        <v>1</v>
      </c>
      <c r="R955" t="s">
        <v>474</v>
      </c>
      <c r="S955" t="s">
        <v>2039</v>
      </c>
      <c r="T955" t="s">
        <v>2061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>
        <f t="shared" si="56"/>
        <v>367</v>
      </c>
      <c r="G956" s="5" t="s">
        <v>20</v>
      </c>
      <c r="H956">
        <v>1548</v>
      </c>
      <c r="I956">
        <f t="shared" si="57"/>
        <v>101.02</v>
      </c>
      <c r="J956" t="s">
        <v>26</v>
      </c>
      <c r="K956" t="s">
        <v>27</v>
      </c>
      <c r="L956">
        <v>1348290000</v>
      </c>
      <c r="M956">
        <v>1350363600</v>
      </c>
      <c r="N956" s="19">
        <f t="shared" si="58"/>
        <v>41174.208333333336</v>
      </c>
      <c r="O956" s="19">
        <f t="shared" si="59"/>
        <v>41198.208333333336</v>
      </c>
      <c r="P956" t="b">
        <v>0</v>
      </c>
      <c r="Q956" t="b">
        <v>0</v>
      </c>
      <c r="R956" t="s">
        <v>28</v>
      </c>
      <c r="S956" t="s">
        <v>2035</v>
      </c>
      <c r="T956" t="s">
        <v>2036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>
        <f t="shared" si="56"/>
        <v>1109</v>
      </c>
      <c r="G957" s="5" t="s">
        <v>20</v>
      </c>
      <c r="H957">
        <v>80</v>
      </c>
      <c r="I957">
        <f t="shared" si="57"/>
        <v>97.04</v>
      </c>
      <c r="J957" t="s">
        <v>21</v>
      </c>
      <c r="K957" t="s">
        <v>22</v>
      </c>
      <c r="L957">
        <v>1353823200</v>
      </c>
      <c r="M957">
        <v>1353996000</v>
      </c>
      <c r="N957" s="19">
        <f t="shared" si="58"/>
        <v>41238.25</v>
      </c>
      <c r="O957" s="19">
        <f t="shared" si="59"/>
        <v>41240.25</v>
      </c>
      <c r="P957" t="b">
        <v>0</v>
      </c>
      <c r="Q957" t="b">
        <v>0</v>
      </c>
      <c r="R957" t="s">
        <v>33</v>
      </c>
      <c r="S957" t="s">
        <v>2037</v>
      </c>
      <c r="T957" t="s">
        <v>2038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>
        <f t="shared" si="56"/>
        <v>19</v>
      </c>
      <c r="G958" s="4" t="s">
        <v>14</v>
      </c>
      <c r="H958">
        <v>830</v>
      </c>
      <c r="I958">
        <f t="shared" si="57"/>
        <v>43.01</v>
      </c>
      <c r="J958" t="s">
        <v>21</v>
      </c>
      <c r="K958" t="s">
        <v>22</v>
      </c>
      <c r="L958">
        <v>1450764000</v>
      </c>
      <c r="M958">
        <v>1451109600</v>
      </c>
      <c r="N958" s="19">
        <f t="shared" si="58"/>
        <v>42360.25</v>
      </c>
      <c r="O958" s="19">
        <f t="shared" si="59"/>
        <v>42364.25</v>
      </c>
      <c r="P958" t="b">
        <v>0</v>
      </c>
      <c r="Q958" t="b">
        <v>0</v>
      </c>
      <c r="R958" t="s">
        <v>474</v>
      </c>
      <c r="S958" t="s">
        <v>2039</v>
      </c>
      <c r="T958" t="s">
        <v>2061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>
        <f t="shared" si="56"/>
        <v>127</v>
      </c>
      <c r="G959" s="5" t="s">
        <v>20</v>
      </c>
      <c r="H959">
        <v>131</v>
      </c>
      <c r="I959">
        <f t="shared" si="57"/>
        <v>94.92</v>
      </c>
      <c r="J959" t="s">
        <v>21</v>
      </c>
      <c r="K959" t="s">
        <v>22</v>
      </c>
      <c r="L959">
        <v>1329372000</v>
      </c>
      <c r="M959">
        <v>1329631200</v>
      </c>
      <c r="N959" s="19">
        <f t="shared" si="58"/>
        <v>40955.25</v>
      </c>
      <c r="O959" s="19">
        <f t="shared" si="59"/>
        <v>40958.25</v>
      </c>
      <c r="P959" t="b">
        <v>0</v>
      </c>
      <c r="Q959" t="b">
        <v>0</v>
      </c>
      <c r="R959" t="s">
        <v>33</v>
      </c>
      <c r="S959" t="s">
        <v>2037</v>
      </c>
      <c r="T959" t="s">
        <v>2038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>
        <f t="shared" si="56"/>
        <v>735</v>
      </c>
      <c r="G960" s="5" t="s">
        <v>20</v>
      </c>
      <c r="H960">
        <v>112</v>
      </c>
      <c r="I960">
        <f t="shared" si="57"/>
        <v>72.150000000000006</v>
      </c>
      <c r="J960" t="s">
        <v>21</v>
      </c>
      <c r="K960" t="s">
        <v>22</v>
      </c>
      <c r="L960">
        <v>1277096400</v>
      </c>
      <c r="M960">
        <v>1278997200</v>
      </c>
      <c r="N960" s="19">
        <f t="shared" si="58"/>
        <v>40350.208333333336</v>
      </c>
      <c r="O960" s="19">
        <f t="shared" si="59"/>
        <v>40372.208333333336</v>
      </c>
      <c r="P960" t="b">
        <v>0</v>
      </c>
      <c r="Q960" t="b">
        <v>0</v>
      </c>
      <c r="R960" t="s">
        <v>71</v>
      </c>
      <c r="S960" t="s">
        <v>2039</v>
      </c>
      <c r="T960" t="s">
        <v>2047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>
        <f t="shared" si="56"/>
        <v>5</v>
      </c>
      <c r="G961" s="4" t="s">
        <v>14</v>
      </c>
      <c r="H961">
        <v>130</v>
      </c>
      <c r="I961">
        <f t="shared" si="57"/>
        <v>51.01</v>
      </c>
      <c r="J961" t="s">
        <v>21</v>
      </c>
      <c r="K961" t="s">
        <v>22</v>
      </c>
      <c r="L961">
        <v>1277701200</v>
      </c>
      <c r="M961">
        <v>1280120400</v>
      </c>
      <c r="N961" s="19">
        <f t="shared" si="58"/>
        <v>40357.208333333336</v>
      </c>
      <c r="O961" s="19">
        <f t="shared" si="59"/>
        <v>40385.208333333336</v>
      </c>
      <c r="P961" t="b">
        <v>0</v>
      </c>
      <c r="Q961" t="b">
        <v>0</v>
      </c>
      <c r="R961" t="s">
        <v>206</v>
      </c>
      <c r="S961" t="s">
        <v>2045</v>
      </c>
      <c r="T961" t="s">
        <v>2057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>
        <f t="shared" si="56"/>
        <v>85</v>
      </c>
      <c r="G962" s="4" t="s">
        <v>14</v>
      </c>
      <c r="H962">
        <v>55</v>
      </c>
      <c r="I962">
        <f t="shared" si="57"/>
        <v>85.05</v>
      </c>
      <c r="J962" t="s">
        <v>21</v>
      </c>
      <c r="K962" t="s">
        <v>22</v>
      </c>
      <c r="L962">
        <v>1454911200</v>
      </c>
      <c r="M962">
        <v>1458104400</v>
      </c>
      <c r="N962" s="19">
        <f t="shared" si="58"/>
        <v>42408.25</v>
      </c>
      <c r="O962" s="19">
        <f t="shared" si="59"/>
        <v>42445.208333333328</v>
      </c>
      <c r="P962" t="b">
        <v>0</v>
      </c>
      <c r="Q962" t="b">
        <v>0</v>
      </c>
      <c r="R962" t="s">
        <v>28</v>
      </c>
      <c r="S962" t="s">
        <v>2035</v>
      </c>
      <c r="T962" t="s">
        <v>2036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>
        <f t="shared" ref="F963:F1001" si="60">ROUND(E963/D963*100,0)</f>
        <v>119</v>
      </c>
      <c r="G963" s="5" t="s">
        <v>20</v>
      </c>
      <c r="H963">
        <v>155</v>
      </c>
      <c r="I963">
        <f t="shared" ref="I963:I1001" si="61">ROUND(E963/H963,2)</f>
        <v>43.87</v>
      </c>
      <c r="J963" t="s">
        <v>21</v>
      </c>
      <c r="K963" t="s">
        <v>22</v>
      </c>
      <c r="L963">
        <v>1297922400</v>
      </c>
      <c r="M963">
        <v>1298268000</v>
      </c>
      <c r="N963" s="19">
        <f t="shared" ref="N963:N1001" si="62">(((L963/60)/60)/24)+DATE(1970,1,1)</f>
        <v>40591.25</v>
      </c>
      <c r="O963" s="19">
        <f t="shared" ref="O963:O1001" si="63">(((M963/60)/60)/24)+DATE(1970,1,1)</f>
        <v>40595.25</v>
      </c>
      <c r="P963" t="b">
        <v>0</v>
      </c>
      <c r="Q963" t="b">
        <v>0</v>
      </c>
      <c r="R963" t="s">
        <v>206</v>
      </c>
      <c r="S963" t="s">
        <v>2045</v>
      </c>
      <c r="T963" t="s">
        <v>2057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>
        <f t="shared" si="60"/>
        <v>296</v>
      </c>
      <c r="G964" s="5" t="s">
        <v>20</v>
      </c>
      <c r="H964">
        <v>266</v>
      </c>
      <c r="I964">
        <f t="shared" si="61"/>
        <v>40.06</v>
      </c>
      <c r="J964" t="s">
        <v>21</v>
      </c>
      <c r="K964" t="s">
        <v>22</v>
      </c>
      <c r="L964">
        <v>1384408800</v>
      </c>
      <c r="M964">
        <v>1386223200</v>
      </c>
      <c r="N964" s="19">
        <f t="shared" si="62"/>
        <v>41592.25</v>
      </c>
      <c r="O964" s="19">
        <f t="shared" si="63"/>
        <v>41613.25</v>
      </c>
      <c r="P964" t="b">
        <v>0</v>
      </c>
      <c r="Q964" t="b">
        <v>0</v>
      </c>
      <c r="R964" t="s">
        <v>17</v>
      </c>
      <c r="S964" t="s">
        <v>2031</v>
      </c>
      <c r="T964" t="s">
        <v>2032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>
        <f t="shared" si="60"/>
        <v>85</v>
      </c>
      <c r="G965" s="4" t="s">
        <v>14</v>
      </c>
      <c r="H965">
        <v>114</v>
      </c>
      <c r="I965">
        <f t="shared" si="61"/>
        <v>43.83</v>
      </c>
      <c r="J965" t="s">
        <v>107</v>
      </c>
      <c r="K965" t="s">
        <v>108</v>
      </c>
      <c r="L965">
        <v>1299304800</v>
      </c>
      <c r="M965">
        <v>1299823200</v>
      </c>
      <c r="N965" s="19">
        <f t="shared" si="62"/>
        <v>40607.25</v>
      </c>
      <c r="O965" s="19">
        <f t="shared" si="63"/>
        <v>40613.25</v>
      </c>
      <c r="P965" t="b">
        <v>0</v>
      </c>
      <c r="Q965" t="b">
        <v>1</v>
      </c>
      <c r="R965" t="s">
        <v>122</v>
      </c>
      <c r="S965" t="s">
        <v>2052</v>
      </c>
      <c r="T965" t="s">
        <v>2053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>
        <f t="shared" si="60"/>
        <v>356</v>
      </c>
      <c r="G966" s="5" t="s">
        <v>20</v>
      </c>
      <c r="H966">
        <v>155</v>
      </c>
      <c r="I966">
        <f t="shared" si="61"/>
        <v>84.93</v>
      </c>
      <c r="J966" t="s">
        <v>21</v>
      </c>
      <c r="K966" t="s">
        <v>22</v>
      </c>
      <c r="L966">
        <v>1431320400</v>
      </c>
      <c r="M966">
        <v>1431752400</v>
      </c>
      <c r="N966" s="19">
        <f t="shared" si="62"/>
        <v>42135.208333333328</v>
      </c>
      <c r="O966" s="19">
        <f t="shared" si="63"/>
        <v>42140.208333333328</v>
      </c>
      <c r="P966" t="b">
        <v>0</v>
      </c>
      <c r="Q966" t="b">
        <v>0</v>
      </c>
      <c r="R966" t="s">
        <v>33</v>
      </c>
      <c r="S966" t="s">
        <v>2037</v>
      </c>
      <c r="T966" t="s">
        <v>2038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>
        <f t="shared" si="60"/>
        <v>386</v>
      </c>
      <c r="G967" s="5" t="s">
        <v>20</v>
      </c>
      <c r="H967">
        <v>207</v>
      </c>
      <c r="I967">
        <f t="shared" si="61"/>
        <v>41.07</v>
      </c>
      <c r="J967" t="s">
        <v>40</v>
      </c>
      <c r="K967" t="s">
        <v>41</v>
      </c>
      <c r="L967">
        <v>1264399200</v>
      </c>
      <c r="M967">
        <v>1267855200</v>
      </c>
      <c r="N967" s="19">
        <f t="shared" si="62"/>
        <v>40203.25</v>
      </c>
      <c r="O967" s="19">
        <f t="shared" si="63"/>
        <v>40243.25</v>
      </c>
      <c r="P967" t="b">
        <v>0</v>
      </c>
      <c r="Q967" t="b">
        <v>0</v>
      </c>
      <c r="R967" t="s">
        <v>23</v>
      </c>
      <c r="S967" t="s">
        <v>2033</v>
      </c>
      <c r="T967" t="s">
        <v>2034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>
        <f t="shared" si="60"/>
        <v>792</v>
      </c>
      <c r="G968" s="5" t="s">
        <v>20</v>
      </c>
      <c r="H968">
        <v>245</v>
      </c>
      <c r="I968">
        <f t="shared" si="61"/>
        <v>54.97</v>
      </c>
      <c r="J968" t="s">
        <v>21</v>
      </c>
      <c r="K968" t="s">
        <v>22</v>
      </c>
      <c r="L968">
        <v>1497502800</v>
      </c>
      <c r="M968">
        <v>1497675600</v>
      </c>
      <c r="N968" s="19">
        <f t="shared" si="62"/>
        <v>42901.208333333328</v>
      </c>
      <c r="O968" s="19">
        <f t="shared" si="63"/>
        <v>42903.208333333328</v>
      </c>
      <c r="P968" t="b">
        <v>0</v>
      </c>
      <c r="Q968" t="b">
        <v>0</v>
      </c>
      <c r="R968" t="s">
        <v>33</v>
      </c>
      <c r="S968" t="s">
        <v>2037</v>
      </c>
      <c r="T968" t="s">
        <v>2038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>
        <f t="shared" si="60"/>
        <v>137</v>
      </c>
      <c r="G969" s="5" t="s">
        <v>20</v>
      </c>
      <c r="H969">
        <v>1573</v>
      </c>
      <c r="I969">
        <f t="shared" si="61"/>
        <v>77.010000000000005</v>
      </c>
      <c r="J969" t="s">
        <v>21</v>
      </c>
      <c r="K969" t="s">
        <v>22</v>
      </c>
      <c r="L969">
        <v>1333688400</v>
      </c>
      <c r="M969">
        <v>1336885200</v>
      </c>
      <c r="N969" s="19">
        <f t="shared" si="62"/>
        <v>41005.208333333336</v>
      </c>
      <c r="O969" s="19">
        <f t="shared" si="63"/>
        <v>41042.208333333336</v>
      </c>
      <c r="P969" t="b">
        <v>0</v>
      </c>
      <c r="Q969" t="b">
        <v>0</v>
      </c>
      <c r="R969" t="s">
        <v>319</v>
      </c>
      <c r="S969" t="s">
        <v>2033</v>
      </c>
      <c r="T969" t="s">
        <v>2060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>
        <f t="shared" si="60"/>
        <v>338</v>
      </c>
      <c r="G970" s="5" t="s">
        <v>20</v>
      </c>
      <c r="H970">
        <v>114</v>
      </c>
      <c r="I970">
        <f t="shared" si="61"/>
        <v>71.2</v>
      </c>
      <c r="J970" t="s">
        <v>21</v>
      </c>
      <c r="K970" t="s">
        <v>22</v>
      </c>
      <c r="L970">
        <v>1293861600</v>
      </c>
      <c r="M970">
        <v>1295157600</v>
      </c>
      <c r="N970" s="19">
        <f t="shared" si="62"/>
        <v>40544.25</v>
      </c>
      <c r="O970" s="19">
        <f t="shared" si="63"/>
        <v>40559.25</v>
      </c>
      <c r="P970" t="b">
        <v>0</v>
      </c>
      <c r="Q970" t="b">
        <v>0</v>
      </c>
      <c r="R970" t="s">
        <v>17</v>
      </c>
      <c r="S970" t="s">
        <v>2031</v>
      </c>
      <c r="T970" t="s">
        <v>2032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>
        <f t="shared" si="60"/>
        <v>108</v>
      </c>
      <c r="G971" s="5" t="s">
        <v>20</v>
      </c>
      <c r="H971">
        <v>93</v>
      </c>
      <c r="I971">
        <f t="shared" si="61"/>
        <v>91.94</v>
      </c>
      <c r="J971" t="s">
        <v>21</v>
      </c>
      <c r="K971" t="s">
        <v>22</v>
      </c>
      <c r="L971">
        <v>1576994400</v>
      </c>
      <c r="M971">
        <v>1577599200</v>
      </c>
      <c r="N971" s="19">
        <f t="shared" si="62"/>
        <v>43821.25</v>
      </c>
      <c r="O971" s="19">
        <f t="shared" si="63"/>
        <v>43828.25</v>
      </c>
      <c r="P971" t="b">
        <v>0</v>
      </c>
      <c r="Q971" t="b">
        <v>0</v>
      </c>
      <c r="R971" t="s">
        <v>33</v>
      </c>
      <c r="S971" t="s">
        <v>2037</v>
      </c>
      <c r="T971" t="s">
        <v>2038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>
        <f t="shared" si="60"/>
        <v>61</v>
      </c>
      <c r="G972" s="4" t="s">
        <v>14</v>
      </c>
      <c r="H972">
        <v>594</v>
      </c>
      <c r="I972">
        <f t="shared" si="61"/>
        <v>97.07</v>
      </c>
      <c r="J972" t="s">
        <v>21</v>
      </c>
      <c r="K972" t="s">
        <v>22</v>
      </c>
      <c r="L972">
        <v>1304917200</v>
      </c>
      <c r="M972">
        <v>1305003600</v>
      </c>
      <c r="N972" s="19">
        <f t="shared" si="62"/>
        <v>40672.208333333336</v>
      </c>
      <c r="O972" s="19">
        <f t="shared" si="63"/>
        <v>40673.208333333336</v>
      </c>
      <c r="P972" t="b">
        <v>0</v>
      </c>
      <c r="Q972" t="b">
        <v>0</v>
      </c>
      <c r="R972" t="s">
        <v>33</v>
      </c>
      <c r="S972" t="s">
        <v>2037</v>
      </c>
      <c r="T972" t="s">
        <v>2038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>
        <f t="shared" si="60"/>
        <v>28</v>
      </c>
      <c r="G973" s="4" t="s">
        <v>14</v>
      </c>
      <c r="H973">
        <v>24</v>
      </c>
      <c r="I973">
        <f t="shared" si="61"/>
        <v>58.92</v>
      </c>
      <c r="J973" t="s">
        <v>21</v>
      </c>
      <c r="K973" t="s">
        <v>22</v>
      </c>
      <c r="L973">
        <v>1381208400</v>
      </c>
      <c r="M973">
        <v>1381726800</v>
      </c>
      <c r="N973" s="19">
        <f t="shared" si="62"/>
        <v>41555.208333333336</v>
      </c>
      <c r="O973" s="19">
        <f t="shared" si="63"/>
        <v>41561.208333333336</v>
      </c>
      <c r="P973" t="b">
        <v>0</v>
      </c>
      <c r="Q973" t="b">
        <v>0</v>
      </c>
      <c r="R973" t="s">
        <v>269</v>
      </c>
      <c r="S973" t="s">
        <v>2039</v>
      </c>
      <c r="T973" t="s">
        <v>2058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>
        <f t="shared" si="60"/>
        <v>228</v>
      </c>
      <c r="G974" s="5" t="s">
        <v>20</v>
      </c>
      <c r="H974">
        <v>1681</v>
      </c>
      <c r="I974">
        <f t="shared" si="61"/>
        <v>58.02</v>
      </c>
      <c r="J974" t="s">
        <v>21</v>
      </c>
      <c r="K974" t="s">
        <v>22</v>
      </c>
      <c r="L974">
        <v>1401685200</v>
      </c>
      <c r="M974">
        <v>1402462800</v>
      </c>
      <c r="N974" s="19">
        <f t="shared" si="62"/>
        <v>41792.208333333336</v>
      </c>
      <c r="O974" s="19">
        <f t="shared" si="63"/>
        <v>41801.208333333336</v>
      </c>
      <c r="P974" t="b">
        <v>0</v>
      </c>
      <c r="Q974" t="b">
        <v>1</v>
      </c>
      <c r="R974" t="s">
        <v>28</v>
      </c>
      <c r="S974" t="s">
        <v>2035</v>
      </c>
      <c r="T974" t="s">
        <v>2036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>
        <f t="shared" si="60"/>
        <v>22</v>
      </c>
      <c r="G975" s="4" t="s">
        <v>14</v>
      </c>
      <c r="H975">
        <v>252</v>
      </c>
      <c r="I975">
        <f t="shared" si="61"/>
        <v>103.87</v>
      </c>
      <c r="J975" t="s">
        <v>21</v>
      </c>
      <c r="K975" t="s">
        <v>22</v>
      </c>
      <c r="L975">
        <v>1291960800</v>
      </c>
      <c r="M975">
        <v>1292133600</v>
      </c>
      <c r="N975" s="19">
        <f t="shared" si="62"/>
        <v>40522.25</v>
      </c>
      <c r="O975" s="19">
        <f t="shared" si="63"/>
        <v>40524.25</v>
      </c>
      <c r="P975" t="b">
        <v>0</v>
      </c>
      <c r="Q975" t="b">
        <v>1</v>
      </c>
      <c r="R975" t="s">
        <v>33</v>
      </c>
      <c r="S975" t="s">
        <v>2037</v>
      </c>
      <c r="T975" t="s">
        <v>2038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>
        <f t="shared" si="60"/>
        <v>374</v>
      </c>
      <c r="G976" s="5" t="s">
        <v>20</v>
      </c>
      <c r="H976">
        <v>32</v>
      </c>
      <c r="I976">
        <f t="shared" si="61"/>
        <v>93.47</v>
      </c>
      <c r="J976" t="s">
        <v>21</v>
      </c>
      <c r="K976" t="s">
        <v>22</v>
      </c>
      <c r="L976">
        <v>1368853200</v>
      </c>
      <c r="M976">
        <v>1368939600</v>
      </c>
      <c r="N976" s="19">
        <f t="shared" si="62"/>
        <v>41412.208333333336</v>
      </c>
      <c r="O976" s="19">
        <f t="shared" si="63"/>
        <v>41413.208333333336</v>
      </c>
      <c r="P976" t="b">
        <v>0</v>
      </c>
      <c r="Q976" t="b">
        <v>0</v>
      </c>
      <c r="R976" t="s">
        <v>60</v>
      </c>
      <c r="S976" t="s">
        <v>2033</v>
      </c>
      <c r="T976" t="s">
        <v>2043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>
        <f t="shared" si="60"/>
        <v>155</v>
      </c>
      <c r="G977" s="5" t="s">
        <v>20</v>
      </c>
      <c r="H977">
        <v>135</v>
      </c>
      <c r="I977">
        <f t="shared" si="61"/>
        <v>61.97</v>
      </c>
      <c r="J977" t="s">
        <v>21</v>
      </c>
      <c r="K977" t="s">
        <v>22</v>
      </c>
      <c r="L977">
        <v>1448776800</v>
      </c>
      <c r="M977">
        <v>1452146400</v>
      </c>
      <c r="N977" s="19">
        <f t="shared" si="62"/>
        <v>42337.25</v>
      </c>
      <c r="O977" s="19">
        <f t="shared" si="63"/>
        <v>42376.25</v>
      </c>
      <c r="P977" t="b">
        <v>0</v>
      </c>
      <c r="Q977" t="b">
        <v>1</v>
      </c>
      <c r="R977" t="s">
        <v>33</v>
      </c>
      <c r="S977" t="s">
        <v>2037</v>
      </c>
      <c r="T977" t="s">
        <v>2038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>
        <f t="shared" si="60"/>
        <v>322</v>
      </c>
      <c r="G978" s="5" t="s">
        <v>20</v>
      </c>
      <c r="H978">
        <v>140</v>
      </c>
      <c r="I978">
        <f t="shared" si="61"/>
        <v>92.04</v>
      </c>
      <c r="J978" t="s">
        <v>21</v>
      </c>
      <c r="K978" t="s">
        <v>22</v>
      </c>
      <c r="L978">
        <v>1296194400</v>
      </c>
      <c r="M978">
        <v>1296712800</v>
      </c>
      <c r="N978" s="19">
        <f t="shared" si="62"/>
        <v>40571.25</v>
      </c>
      <c r="O978" s="19">
        <f t="shared" si="63"/>
        <v>40577.25</v>
      </c>
      <c r="P978" t="b">
        <v>0</v>
      </c>
      <c r="Q978" t="b">
        <v>1</v>
      </c>
      <c r="R978" t="s">
        <v>33</v>
      </c>
      <c r="S978" t="s">
        <v>2037</v>
      </c>
      <c r="T978" t="s">
        <v>2038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>
        <f t="shared" si="60"/>
        <v>74</v>
      </c>
      <c r="G979" s="4" t="s">
        <v>14</v>
      </c>
      <c r="H979">
        <v>67</v>
      </c>
      <c r="I979">
        <f t="shared" si="61"/>
        <v>77.27</v>
      </c>
      <c r="J979" t="s">
        <v>21</v>
      </c>
      <c r="K979" t="s">
        <v>22</v>
      </c>
      <c r="L979">
        <v>1517983200</v>
      </c>
      <c r="M979">
        <v>1520748000</v>
      </c>
      <c r="N979" s="19">
        <f t="shared" si="62"/>
        <v>43138.25</v>
      </c>
      <c r="O979" s="19">
        <f t="shared" si="63"/>
        <v>43170.25</v>
      </c>
      <c r="P979" t="b">
        <v>0</v>
      </c>
      <c r="Q979" t="b">
        <v>0</v>
      </c>
      <c r="R979" t="s">
        <v>17</v>
      </c>
      <c r="S979" t="s">
        <v>2031</v>
      </c>
      <c r="T979" t="s">
        <v>2032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>
        <f t="shared" si="60"/>
        <v>864</v>
      </c>
      <c r="G980" s="5" t="s">
        <v>20</v>
      </c>
      <c r="H980">
        <v>92</v>
      </c>
      <c r="I980">
        <f t="shared" si="61"/>
        <v>93.92</v>
      </c>
      <c r="J980" t="s">
        <v>21</v>
      </c>
      <c r="K980" t="s">
        <v>22</v>
      </c>
      <c r="L980">
        <v>1478930400</v>
      </c>
      <c r="M980">
        <v>1480831200</v>
      </c>
      <c r="N980" s="19">
        <f t="shared" si="62"/>
        <v>42686.25</v>
      </c>
      <c r="O980" s="19">
        <f t="shared" si="63"/>
        <v>42708.25</v>
      </c>
      <c r="P980" t="b">
        <v>0</v>
      </c>
      <c r="Q980" t="b">
        <v>0</v>
      </c>
      <c r="R980" t="s">
        <v>89</v>
      </c>
      <c r="S980" t="s">
        <v>2048</v>
      </c>
      <c r="T980" t="s">
        <v>2049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>
        <f t="shared" si="60"/>
        <v>143</v>
      </c>
      <c r="G981" s="5" t="s">
        <v>20</v>
      </c>
      <c r="H981">
        <v>1015</v>
      </c>
      <c r="I981">
        <f t="shared" si="61"/>
        <v>84.97</v>
      </c>
      <c r="J981" t="s">
        <v>40</v>
      </c>
      <c r="K981" t="s">
        <v>41</v>
      </c>
      <c r="L981">
        <v>1426395600</v>
      </c>
      <c r="M981">
        <v>1426914000</v>
      </c>
      <c r="N981" s="19">
        <f t="shared" si="62"/>
        <v>42078.208333333328</v>
      </c>
      <c r="O981" s="19">
        <f t="shared" si="63"/>
        <v>42084.208333333328</v>
      </c>
      <c r="P981" t="b">
        <v>0</v>
      </c>
      <c r="Q981" t="b">
        <v>0</v>
      </c>
      <c r="R981" t="s">
        <v>33</v>
      </c>
      <c r="S981" t="s">
        <v>2037</v>
      </c>
      <c r="T981" t="s">
        <v>2038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>
        <f t="shared" si="60"/>
        <v>40</v>
      </c>
      <c r="G982" s="4" t="s">
        <v>14</v>
      </c>
      <c r="H982">
        <v>742</v>
      </c>
      <c r="I982">
        <f t="shared" si="61"/>
        <v>105.97</v>
      </c>
      <c r="J982" t="s">
        <v>21</v>
      </c>
      <c r="K982" t="s">
        <v>22</v>
      </c>
      <c r="L982">
        <v>1446181200</v>
      </c>
      <c r="M982">
        <v>1446616800</v>
      </c>
      <c r="N982" s="19">
        <f t="shared" si="62"/>
        <v>42307.208333333328</v>
      </c>
      <c r="O982" s="19">
        <f t="shared" si="63"/>
        <v>42312.25</v>
      </c>
      <c r="P982" t="b">
        <v>1</v>
      </c>
      <c r="Q982" t="b">
        <v>0</v>
      </c>
      <c r="R982" t="s">
        <v>68</v>
      </c>
      <c r="S982" t="s">
        <v>2045</v>
      </c>
      <c r="T982" t="s">
        <v>2046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>
        <f t="shared" si="60"/>
        <v>178</v>
      </c>
      <c r="G983" s="5" t="s">
        <v>20</v>
      </c>
      <c r="H983">
        <v>323</v>
      </c>
      <c r="I983">
        <f t="shared" si="61"/>
        <v>36.97</v>
      </c>
      <c r="J983" t="s">
        <v>21</v>
      </c>
      <c r="K983" t="s">
        <v>22</v>
      </c>
      <c r="L983">
        <v>1514181600</v>
      </c>
      <c r="M983">
        <v>1517032800</v>
      </c>
      <c r="N983" s="19">
        <f t="shared" si="62"/>
        <v>43094.25</v>
      </c>
      <c r="O983" s="19">
        <f t="shared" si="63"/>
        <v>43127.25</v>
      </c>
      <c r="P983" t="b">
        <v>0</v>
      </c>
      <c r="Q983" t="b">
        <v>0</v>
      </c>
      <c r="R983" t="s">
        <v>28</v>
      </c>
      <c r="S983" t="s">
        <v>2035</v>
      </c>
      <c r="T983" t="s">
        <v>2036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>
        <f t="shared" si="60"/>
        <v>85</v>
      </c>
      <c r="G984" s="4" t="s">
        <v>14</v>
      </c>
      <c r="H984">
        <v>75</v>
      </c>
      <c r="I984">
        <f t="shared" si="61"/>
        <v>81.53</v>
      </c>
      <c r="J984" t="s">
        <v>21</v>
      </c>
      <c r="K984" t="s">
        <v>22</v>
      </c>
      <c r="L984">
        <v>1311051600</v>
      </c>
      <c r="M984">
        <v>1311224400</v>
      </c>
      <c r="N984" s="19">
        <f t="shared" si="62"/>
        <v>40743.208333333336</v>
      </c>
      <c r="O984" s="19">
        <f t="shared" si="63"/>
        <v>40745.208333333336</v>
      </c>
      <c r="P984" t="b">
        <v>0</v>
      </c>
      <c r="Q984" t="b">
        <v>1</v>
      </c>
      <c r="R984" t="s">
        <v>42</v>
      </c>
      <c r="S984" t="s">
        <v>2039</v>
      </c>
      <c r="T984" t="s">
        <v>2040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>
        <f t="shared" si="60"/>
        <v>146</v>
      </c>
      <c r="G985" s="5" t="s">
        <v>20</v>
      </c>
      <c r="H985">
        <v>2326</v>
      </c>
      <c r="I985">
        <f t="shared" si="61"/>
        <v>81</v>
      </c>
      <c r="J985" t="s">
        <v>21</v>
      </c>
      <c r="K985" t="s">
        <v>22</v>
      </c>
      <c r="L985">
        <v>1564894800</v>
      </c>
      <c r="M985">
        <v>1566190800</v>
      </c>
      <c r="N985" s="19">
        <f t="shared" si="62"/>
        <v>43681.208333333328</v>
      </c>
      <c r="O985" s="19">
        <f t="shared" si="63"/>
        <v>43696.208333333328</v>
      </c>
      <c r="P985" t="b">
        <v>0</v>
      </c>
      <c r="Q985" t="b">
        <v>0</v>
      </c>
      <c r="R985" t="s">
        <v>42</v>
      </c>
      <c r="S985" t="s">
        <v>2039</v>
      </c>
      <c r="T985" t="s">
        <v>2040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>
        <f t="shared" si="60"/>
        <v>152</v>
      </c>
      <c r="G986" s="5" t="s">
        <v>20</v>
      </c>
      <c r="H986">
        <v>381</v>
      </c>
      <c r="I986">
        <f t="shared" si="61"/>
        <v>26.01</v>
      </c>
      <c r="J986" t="s">
        <v>21</v>
      </c>
      <c r="K986" t="s">
        <v>22</v>
      </c>
      <c r="L986">
        <v>1567918800</v>
      </c>
      <c r="M986">
        <v>1570165200</v>
      </c>
      <c r="N986" s="19">
        <f t="shared" si="62"/>
        <v>43716.208333333328</v>
      </c>
      <c r="O986" s="19">
        <f t="shared" si="63"/>
        <v>43742.208333333328</v>
      </c>
      <c r="P986" t="b">
        <v>0</v>
      </c>
      <c r="Q986" t="b">
        <v>0</v>
      </c>
      <c r="R986" t="s">
        <v>33</v>
      </c>
      <c r="S986" t="s">
        <v>2037</v>
      </c>
      <c r="T986" t="s">
        <v>2038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>
        <f t="shared" si="60"/>
        <v>67</v>
      </c>
      <c r="G987" s="4" t="s">
        <v>14</v>
      </c>
      <c r="H987">
        <v>4405</v>
      </c>
      <c r="I987">
        <f t="shared" si="61"/>
        <v>26</v>
      </c>
      <c r="J987" t="s">
        <v>21</v>
      </c>
      <c r="K987" t="s">
        <v>22</v>
      </c>
      <c r="L987">
        <v>1386309600</v>
      </c>
      <c r="M987">
        <v>1388556000</v>
      </c>
      <c r="N987" s="19">
        <f t="shared" si="62"/>
        <v>41614.25</v>
      </c>
      <c r="O987" s="19">
        <f t="shared" si="63"/>
        <v>41640.25</v>
      </c>
      <c r="P987" t="b">
        <v>0</v>
      </c>
      <c r="Q987" t="b">
        <v>1</v>
      </c>
      <c r="R987" t="s">
        <v>23</v>
      </c>
      <c r="S987" t="s">
        <v>2033</v>
      </c>
      <c r="T987" t="s">
        <v>2034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>
        <f t="shared" si="60"/>
        <v>40</v>
      </c>
      <c r="G988" s="4" t="s">
        <v>14</v>
      </c>
      <c r="H988">
        <v>92</v>
      </c>
      <c r="I988">
        <f t="shared" si="61"/>
        <v>34.17</v>
      </c>
      <c r="J988" t="s">
        <v>21</v>
      </c>
      <c r="K988" t="s">
        <v>22</v>
      </c>
      <c r="L988">
        <v>1301979600</v>
      </c>
      <c r="M988">
        <v>1303189200</v>
      </c>
      <c r="N988" s="19">
        <f t="shared" si="62"/>
        <v>40638.208333333336</v>
      </c>
      <c r="O988" s="19">
        <f t="shared" si="63"/>
        <v>40652.208333333336</v>
      </c>
      <c r="P988" t="b">
        <v>0</v>
      </c>
      <c r="Q988" t="b">
        <v>0</v>
      </c>
      <c r="R988" t="s">
        <v>23</v>
      </c>
      <c r="S988" t="s">
        <v>2033</v>
      </c>
      <c r="T988" t="s">
        <v>2034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>
        <f t="shared" si="60"/>
        <v>217</v>
      </c>
      <c r="G989" s="5" t="s">
        <v>20</v>
      </c>
      <c r="H989">
        <v>480</v>
      </c>
      <c r="I989">
        <f t="shared" si="61"/>
        <v>28</v>
      </c>
      <c r="J989" t="s">
        <v>21</v>
      </c>
      <c r="K989" t="s">
        <v>22</v>
      </c>
      <c r="L989">
        <v>1493269200</v>
      </c>
      <c r="M989">
        <v>1494478800</v>
      </c>
      <c r="N989" s="19">
        <f t="shared" si="62"/>
        <v>42852.208333333328</v>
      </c>
      <c r="O989" s="19">
        <f t="shared" si="63"/>
        <v>42866.208333333328</v>
      </c>
      <c r="P989" t="b">
        <v>0</v>
      </c>
      <c r="Q989" t="b">
        <v>0</v>
      </c>
      <c r="R989" t="s">
        <v>42</v>
      </c>
      <c r="S989" t="s">
        <v>2039</v>
      </c>
      <c r="T989" t="s">
        <v>2040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>
        <f t="shared" si="60"/>
        <v>52</v>
      </c>
      <c r="G990" s="4" t="s">
        <v>14</v>
      </c>
      <c r="H990">
        <v>64</v>
      </c>
      <c r="I990">
        <f t="shared" si="61"/>
        <v>76.55</v>
      </c>
      <c r="J990" t="s">
        <v>21</v>
      </c>
      <c r="K990" t="s">
        <v>22</v>
      </c>
      <c r="L990">
        <v>1478930400</v>
      </c>
      <c r="M990">
        <v>1480744800</v>
      </c>
      <c r="N990" s="19">
        <f t="shared" si="62"/>
        <v>42686.25</v>
      </c>
      <c r="O990" s="19">
        <f t="shared" si="63"/>
        <v>42707.25</v>
      </c>
      <c r="P990" t="b">
        <v>0</v>
      </c>
      <c r="Q990" t="b">
        <v>0</v>
      </c>
      <c r="R990" t="s">
        <v>133</v>
      </c>
      <c r="S990" t="s">
        <v>2045</v>
      </c>
      <c r="T990" t="s">
        <v>2054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>
        <f t="shared" si="60"/>
        <v>500</v>
      </c>
      <c r="G991" s="5" t="s">
        <v>20</v>
      </c>
      <c r="H991">
        <v>226</v>
      </c>
      <c r="I991">
        <f t="shared" si="61"/>
        <v>53.05</v>
      </c>
      <c r="J991" t="s">
        <v>21</v>
      </c>
      <c r="K991" t="s">
        <v>22</v>
      </c>
      <c r="L991">
        <v>1555390800</v>
      </c>
      <c r="M991">
        <v>1555822800</v>
      </c>
      <c r="N991" s="19">
        <f t="shared" si="62"/>
        <v>43571.208333333328</v>
      </c>
      <c r="O991" s="19">
        <f t="shared" si="63"/>
        <v>43576.208333333328</v>
      </c>
      <c r="P991" t="b">
        <v>0</v>
      </c>
      <c r="Q991" t="b">
        <v>0</v>
      </c>
      <c r="R991" t="s">
        <v>206</v>
      </c>
      <c r="S991" t="s">
        <v>2045</v>
      </c>
      <c r="T991" t="s">
        <v>2057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>
        <f t="shared" si="60"/>
        <v>88</v>
      </c>
      <c r="G992" s="4" t="s">
        <v>14</v>
      </c>
      <c r="H992">
        <v>64</v>
      </c>
      <c r="I992">
        <f t="shared" si="61"/>
        <v>106.86</v>
      </c>
      <c r="J992" t="s">
        <v>21</v>
      </c>
      <c r="K992" t="s">
        <v>22</v>
      </c>
      <c r="L992">
        <v>1456984800</v>
      </c>
      <c r="M992">
        <v>1458882000</v>
      </c>
      <c r="N992" s="19">
        <f t="shared" si="62"/>
        <v>42432.25</v>
      </c>
      <c r="O992" s="19">
        <f t="shared" si="63"/>
        <v>42454.208333333328</v>
      </c>
      <c r="P992" t="b">
        <v>0</v>
      </c>
      <c r="Q992" t="b">
        <v>1</v>
      </c>
      <c r="R992" t="s">
        <v>53</v>
      </c>
      <c r="S992" t="s">
        <v>2039</v>
      </c>
      <c r="T992" t="s">
        <v>2042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>
        <f t="shared" si="60"/>
        <v>113</v>
      </c>
      <c r="G993" s="5" t="s">
        <v>20</v>
      </c>
      <c r="H993">
        <v>241</v>
      </c>
      <c r="I993">
        <f t="shared" si="61"/>
        <v>46.02</v>
      </c>
      <c r="J993" t="s">
        <v>21</v>
      </c>
      <c r="K993" t="s">
        <v>22</v>
      </c>
      <c r="L993">
        <v>1411621200</v>
      </c>
      <c r="M993">
        <v>1411966800</v>
      </c>
      <c r="N993" s="19">
        <f t="shared" si="62"/>
        <v>41907.208333333336</v>
      </c>
      <c r="O993" s="19">
        <f t="shared" si="63"/>
        <v>41911.208333333336</v>
      </c>
      <c r="P993" t="b">
        <v>0</v>
      </c>
      <c r="Q993" t="b">
        <v>1</v>
      </c>
      <c r="R993" t="s">
        <v>23</v>
      </c>
      <c r="S993" t="s">
        <v>2033</v>
      </c>
      <c r="T993" t="s">
        <v>2034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>
        <f t="shared" si="60"/>
        <v>427</v>
      </c>
      <c r="G994" s="5" t="s">
        <v>20</v>
      </c>
      <c r="H994">
        <v>132</v>
      </c>
      <c r="I994">
        <f t="shared" si="61"/>
        <v>100.17</v>
      </c>
      <c r="J994" t="s">
        <v>21</v>
      </c>
      <c r="K994" t="s">
        <v>22</v>
      </c>
      <c r="L994">
        <v>1525669200</v>
      </c>
      <c r="M994">
        <v>1526878800</v>
      </c>
      <c r="N994" s="19">
        <f t="shared" si="62"/>
        <v>43227.208333333328</v>
      </c>
      <c r="O994" s="19">
        <f t="shared" si="63"/>
        <v>43241.208333333328</v>
      </c>
      <c r="P994" t="b">
        <v>0</v>
      </c>
      <c r="Q994" t="b">
        <v>1</v>
      </c>
      <c r="R994" t="s">
        <v>53</v>
      </c>
      <c r="S994" t="s">
        <v>2039</v>
      </c>
      <c r="T994" t="s">
        <v>2042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>
        <f t="shared" si="60"/>
        <v>78</v>
      </c>
      <c r="G995" s="7" t="s">
        <v>74</v>
      </c>
      <c r="H995">
        <v>75</v>
      </c>
      <c r="I995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9">
        <f t="shared" si="62"/>
        <v>42362.25</v>
      </c>
      <c r="O995" s="19">
        <f t="shared" si="63"/>
        <v>42379.25</v>
      </c>
      <c r="P995" t="b">
        <v>0</v>
      </c>
      <c r="Q995" t="b">
        <v>1</v>
      </c>
      <c r="R995" t="s">
        <v>122</v>
      </c>
      <c r="S995" t="s">
        <v>2052</v>
      </c>
      <c r="T995" t="s">
        <v>2053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>
        <f t="shared" si="60"/>
        <v>52</v>
      </c>
      <c r="G996" s="4" t="s">
        <v>14</v>
      </c>
      <c r="H996">
        <v>842</v>
      </c>
      <c r="I996">
        <f t="shared" si="61"/>
        <v>87.97</v>
      </c>
      <c r="J996" t="s">
        <v>21</v>
      </c>
      <c r="K996" t="s">
        <v>22</v>
      </c>
      <c r="L996">
        <v>1413522000</v>
      </c>
      <c r="M996">
        <v>1414040400</v>
      </c>
      <c r="N996" s="19">
        <f t="shared" si="62"/>
        <v>41929.208333333336</v>
      </c>
      <c r="O996" s="19">
        <f t="shared" si="63"/>
        <v>41935.208333333336</v>
      </c>
      <c r="P996" t="b">
        <v>0</v>
      </c>
      <c r="Q996" t="b">
        <v>1</v>
      </c>
      <c r="R996" t="s">
        <v>206</v>
      </c>
      <c r="S996" t="s">
        <v>2045</v>
      </c>
      <c r="T996" t="s">
        <v>2057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>
        <f t="shared" si="60"/>
        <v>157</v>
      </c>
      <c r="G997" s="5" t="s">
        <v>20</v>
      </c>
      <c r="H997">
        <v>2043</v>
      </c>
      <c r="I997">
        <f t="shared" si="61"/>
        <v>75</v>
      </c>
      <c r="J997" t="s">
        <v>21</v>
      </c>
      <c r="K997" t="s">
        <v>22</v>
      </c>
      <c r="L997">
        <v>1541307600</v>
      </c>
      <c r="M997">
        <v>1543816800</v>
      </c>
      <c r="N997" s="19">
        <f t="shared" si="62"/>
        <v>43408.208333333328</v>
      </c>
      <c r="O997" s="19">
        <f t="shared" si="63"/>
        <v>43437.25</v>
      </c>
      <c r="P997" t="b">
        <v>0</v>
      </c>
      <c r="Q997" t="b">
        <v>1</v>
      </c>
      <c r="R997" t="s">
        <v>17</v>
      </c>
      <c r="S997" t="s">
        <v>2031</v>
      </c>
      <c r="T997" t="s">
        <v>2032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>
        <f t="shared" si="60"/>
        <v>73</v>
      </c>
      <c r="G998" s="4" t="s">
        <v>14</v>
      </c>
      <c r="H998">
        <v>112</v>
      </c>
      <c r="I998">
        <f t="shared" si="61"/>
        <v>42.98</v>
      </c>
      <c r="J998" t="s">
        <v>21</v>
      </c>
      <c r="K998" t="s">
        <v>22</v>
      </c>
      <c r="L998">
        <v>1357106400</v>
      </c>
      <c r="M998">
        <v>1359698400</v>
      </c>
      <c r="N998" s="19">
        <f t="shared" si="62"/>
        <v>41276.25</v>
      </c>
      <c r="O998" s="19">
        <f t="shared" si="63"/>
        <v>41306.25</v>
      </c>
      <c r="P998" t="b">
        <v>0</v>
      </c>
      <c r="Q998" t="b">
        <v>0</v>
      </c>
      <c r="R998" t="s">
        <v>33</v>
      </c>
      <c r="S998" t="s">
        <v>2037</v>
      </c>
      <c r="T998" t="s">
        <v>2038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>
        <f t="shared" si="60"/>
        <v>61</v>
      </c>
      <c r="G999" s="7" t="s">
        <v>74</v>
      </c>
      <c r="H999">
        <v>139</v>
      </c>
      <c r="I999">
        <f t="shared" si="61"/>
        <v>33.119999999999997</v>
      </c>
      <c r="J999" t="s">
        <v>107</v>
      </c>
      <c r="K999" t="s">
        <v>108</v>
      </c>
      <c r="L999">
        <v>1390197600</v>
      </c>
      <c r="M999">
        <v>1390629600</v>
      </c>
      <c r="N999" s="19">
        <f t="shared" si="62"/>
        <v>41659.25</v>
      </c>
      <c r="O999" s="19">
        <f t="shared" si="63"/>
        <v>41664.25</v>
      </c>
      <c r="P999" t="b">
        <v>0</v>
      </c>
      <c r="Q999" t="b">
        <v>0</v>
      </c>
      <c r="R999" t="s">
        <v>33</v>
      </c>
      <c r="S999" t="s">
        <v>2037</v>
      </c>
      <c r="T999" t="s">
        <v>2038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>
        <f t="shared" si="60"/>
        <v>57</v>
      </c>
      <c r="G1000" s="4" t="s">
        <v>14</v>
      </c>
      <c r="H1000">
        <v>374</v>
      </c>
      <c r="I1000">
        <f t="shared" si="61"/>
        <v>101.13</v>
      </c>
      <c r="J1000" t="s">
        <v>21</v>
      </c>
      <c r="K1000" t="s">
        <v>22</v>
      </c>
      <c r="L1000">
        <v>1265868000</v>
      </c>
      <c r="M1000">
        <v>1267077600</v>
      </c>
      <c r="N1000" s="19">
        <f t="shared" si="62"/>
        <v>40220.25</v>
      </c>
      <c r="O1000" s="19">
        <f t="shared" si="63"/>
        <v>40234.25</v>
      </c>
      <c r="P1000" t="b">
        <v>0</v>
      </c>
      <c r="Q1000" t="b">
        <v>1</v>
      </c>
      <c r="R1000" t="s">
        <v>60</v>
      </c>
      <c r="S1000" t="s">
        <v>2033</v>
      </c>
      <c r="T1000" t="s">
        <v>2043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>
        <f t="shared" si="60"/>
        <v>57</v>
      </c>
      <c r="G1001" s="7" t="s">
        <v>74</v>
      </c>
      <c r="H1001">
        <v>1122</v>
      </c>
      <c r="I1001">
        <f t="shared" si="61"/>
        <v>55.99</v>
      </c>
      <c r="J1001" t="s">
        <v>21</v>
      </c>
      <c r="K1001" t="s">
        <v>22</v>
      </c>
      <c r="L1001">
        <v>1467176400</v>
      </c>
      <c r="M1001">
        <v>1467781200</v>
      </c>
      <c r="N1001" s="19">
        <f t="shared" si="62"/>
        <v>42550.208333333328</v>
      </c>
      <c r="O1001" s="19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2031</v>
      </c>
      <c r="T1001" t="s">
        <v>2032</v>
      </c>
    </row>
  </sheetData>
  <autoFilter ref="A1:T1001" xr:uid="{00000000-0001-0000-0000-000000000000}"/>
  <conditionalFormatting sqref="F1:F1048576">
    <cfRule type="colorScale" priority="1">
      <colorScale>
        <cfvo type="num" val="0"/>
        <cfvo type="num" val="100"/>
        <cfvo type="num" val="200"/>
        <color rgb="FFC00000"/>
        <color rgb="FF92D050"/>
        <color rgb="FF5A8AC6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208D-E2AC-45B8-A3CF-78472CA0BE4B}">
  <dimension ref="A1:F14"/>
  <sheetViews>
    <sheetView workbookViewId="0">
      <selection activeCell="E18" sqref="E18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6</v>
      </c>
      <c r="B1" t="s">
        <v>2068</v>
      </c>
    </row>
    <row r="3" spans="1:6" x14ac:dyDescent="0.25">
      <c r="A3" s="8" t="s">
        <v>2070</v>
      </c>
      <c r="B3" s="8" t="s">
        <v>2069</v>
      </c>
    </row>
    <row r="4" spans="1:6" x14ac:dyDescent="0.25">
      <c r="A4" s="8" t="s">
        <v>2066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25">
      <c r="A5" s="9" t="s">
        <v>2039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5">
      <c r="A6" s="9" t="s">
        <v>2031</v>
      </c>
      <c r="B6">
        <v>4</v>
      </c>
      <c r="C6">
        <v>20</v>
      </c>
      <c r="E6">
        <v>22</v>
      </c>
      <c r="F6">
        <v>46</v>
      </c>
    </row>
    <row r="7" spans="1:6" x14ac:dyDescent="0.25">
      <c r="A7" s="9" t="s">
        <v>2048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5">
      <c r="A8" s="9" t="s">
        <v>2062</v>
      </c>
      <c r="E8">
        <v>4</v>
      </c>
      <c r="F8">
        <v>4</v>
      </c>
    </row>
    <row r="9" spans="1:6" x14ac:dyDescent="0.25">
      <c r="A9" s="9" t="s">
        <v>2033</v>
      </c>
      <c r="B9">
        <v>10</v>
      </c>
      <c r="C9">
        <v>66</v>
      </c>
      <c r="E9">
        <v>99</v>
      </c>
      <c r="F9">
        <v>175</v>
      </c>
    </row>
    <row r="10" spans="1:6" x14ac:dyDescent="0.25">
      <c r="A10" s="9" t="s">
        <v>2052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5">
      <c r="A11" s="9" t="s">
        <v>2045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5">
      <c r="A12" s="9" t="s">
        <v>2035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5">
      <c r="A13" s="9" t="s">
        <v>2037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5">
      <c r="A14" s="9" t="s">
        <v>2067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B4DAB-04E6-4DEA-A591-E707B4AE527E}">
  <dimension ref="A1:F30"/>
  <sheetViews>
    <sheetView topLeftCell="A16" workbookViewId="0">
      <selection activeCell="M49" sqref="M49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6</v>
      </c>
      <c r="B1" t="s">
        <v>2068</v>
      </c>
    </row>
    <row r="2" spans="1:6" x14ac:dyDescent="0.25">
      <c r="A2" s="8" t="s">
        <v>2064</v>
      </c>
      <c r="B2" t="s">
        <v>2068</v>
      </c>
    </row>
    <row r="4" spans="1:6" x14ac:dyDescent="0.25">
      <c r="A4" s="8" t="s">
        <v>2070</v>
      </c>
      <c r="B4" s="8" t="s">
        <v>2069</v>
      </c>
    </row>
    <row r="5" spans="1:6" x14ac:dyDescent="0.25">
      <c r="A5" s="8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5">
      <c r="A6" s="9" t="s">
        <v>2047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5">
      <c r="A7" s="9" t="s">
        <v>2063</v>
      </c>
      <c r="E7">
        <v>4</v>
      </c>
      <c r="F7">
        <v>4</v>
      </c>
    </row>
    <row r="8" spans="1:6" x14ac:dyDescent="0.25">
      <c r="A8" s="9" t="s">
        <v>2040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5">
      <c r="A9" s="9" t="s">
        <v>2042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5">
      <c r="A10" s="9" t="s">
        <v>2041</v>
      </c>
      <c r="C10">
        <v>8</v>
      </c>
      <c r="E10">
        <v>10</v>
      </c>
      <c r="F10">
        <v>18</v>
      </c>
    </row>
    <row r="11" spans="1:6" x14ac:dyDescent="0.25">
      <c r="A11" s="9" t="s">
        <v>2051</v>
      </c>
      <c r="B11">
        <v>1</v>
      </c>
      <c r="C11">
        <v>7</v>
      </c>
      <c r="E11">
        <v>9</v>
      </c>
      <c r="F11">
        <v>17</v>
      </c>
    </row>
    <row r="12" spans="1:6" x14ac:dyDescent="0.25">
      <c r="A12" s="9" t="s">
        <v>2032</v>
      </c>
      <c r="B12">
        <v>4</v>
      </c>
      <c r="C12">
        <v>20</v>
      </c>
      <c r="E12">
        <v>22</v>
      </c>
      <c r="F12">
        <v>46</v>
      </c>
    </row>
    <row r="13" spans="1:6" x14ac:dyDescent="0.25">
      <c r="A13" s="9" t="s">
        <v>2043</v>
      </c>
      <c r="B13">
        <v>3</v>
      </c>
      <c r="C13">
        <v>19</v>
      </c>
      <c r="E13">
        <v>23</v>
      </c>
      <c r="F13">
        <v>45</v>
      </c>
    </row>
    <row r="14" spans="1:6" x14ac:dyDescent="0.25">
      <c r="A14" s="9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25">
      <c r="A15" s="9" t="s">
        <v>2055</v>
      </c>
      <c r="C15">
        <v>3</v>
      </c>
      <c r="E15">
        <v>4</v>
      </c>
      <c r="F15">
        <v>7</v>
      </c>
    </row>
    <row r="16" spans="1:6" x14ac:dyDescent="0.25">
      <c r="A16" s="9" t="s">
        <v>2059</v>
      </c>
      <c r="C16">
        <v>8</v>
      </c>
      <c r="D16">
        <v>1</v>
      </c>
      <c r="E16">
        <v>4</v>
      </c>
      <c r="F16">
        <v>13</v>
      </c>
    </row>
    <row r="17" spans="1:6" x14ac:dyDescent="0.25">
      <c r="A17" s="9" t="s">
        <v>2046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5">
      <c r="A18" s="9" t="s">
        <v>2053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5">
      <c r="A19" s="9" t="s">
        <v>2038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5">
      <c r="A20" s="9" t="s">
        <v>2054</v>
      </c>
      <c r="C20">
        <v>4</v>
      </c>
      <c r="E20">
        <v>4</v>
      </c>
      <c r="F20">
        <v>8</v>
      </c>
    </row>
    <row r="21" spans="1:6" x14ac:dyDescent="0.25">
      <c r="A21" s="9" t="s">
        <v>2034</v>
      </c>
      <c r="B21">
        <v>6</v>
      </c>
      <c r="C21">
        <v>30</v>
      </c>
      <c r="E21">
        <v>49</v>
      </c>
      <c r="F21">
        <v>85</v>
      </c>
    </row>
    <row r="22" spans="1:6" x14ac:dyDescent="0.25">
      <c r="A22" s="9" t="s">
        <v>2061</v>
      </c>
      <c r="C22">
        <v>9</v>
      </c>
      <c r="E22">
        <v>5</v>
      </c>
      <c r="F22">
        <v>14</v>
      </c>
    </row>
    <row r="23" spans="1:6" x14ac:dyDescent="0.25">
      <c r="A23" s="9" t="s">
        <v>2050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5">
      <c r="A24" s="9" t="s">
        <v>2058</v>
      </c>
      <c r="B24">
        <v>3</v>
      </c>
      <c r="C24">
        <v>3</v>
      </c>
      <c r="E24">
        <v>11</v>
      </c>
      <c r="F24">
        <v>17</v>
      </c>
    </row>
    <row r="25" spans="1:6" x14ac:dyDescent="0.25">
      <c r="A25" s="9" t="s">
        <v>2057</v>
      </c>
      <c r="C25">
        <v>7</v>
      </c>
      <c r="E25">
        <v>14</v>
      </c>
      <c r="F25">
        <v>21</v>
      </c>
    </row>
    <row r="26" spans="1:6" x14ac:dyDescent="0.25">
      <c r="A26" s="9" t="s">
        <v>2049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5">
      <c r="A27" s="9" t="s">
        <v>2044</v>
      </c>
      <c r="C27">
        <v>16</v>
      </c>
      <c r="D27">
        <v>1</v>
      </c>
      <c r="E27">
        <v>28</v>
      </c>
      <c r="F27">
        <v>45</v>
      </c>
    </row>
    <row r="28" spans="1:6" x14ac:dyDescent="0.25">
      <c r="A28" s="9" t="s">
        <v>2036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5">
      <c r="A29" s="9" t="s">
        <v>2060</v>
      </c>
      <c r="E29">
        <v>3</v>
      </c>
      <c r="F29">
        <v>3</v>
      </c>
    </row>
    <row r="30" spans="1:6" x14ac:dyDescent="0.25">
      <c r="A30" s="9" t="s">
        <v>2067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0C05-1047-42CD-9437-3CF8BCAE8BEE}">
  <dimension ref="A1:F18"/>
  <sheetViews>
    <sheetView topLeftCell="A10" workbookViewId="0">
      <selection activeCell="L28" sqref="L28"/>
    </sheetView>
  </sheetViews>
  <sheetFormatPr defaultRowHeight="15.75" x14ac:dyDescent="0.25"/>
  <cols>
    <col min="1" max="1" width="27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8" t="s">
        <v>2087</v>
      </c>
      <c r="B1" t="s" vm="2">
        <v>2086</v>
      </c>
    </row>
    <row r="2" spans="1:6" x14ac:dyDescent="0.25">
      <c r="A2" s="8" t="s">
        <v>2085</v>
      </c>
      <c r="B2" t="s" vm="1">
        <v>2086</v>
      </c>
    </row>
    <row r="4" spans="1:6" x14ac:dyDescent="0.25">
      <c r="A4" s="8" t="s">
        <v>2070</v>
      </c>
      <c r="B4" s="8" t="s">
        <v>2069</v>
      </c>
    </row>
    <row r="5" spans="1:6" x14ac:dyDescent="0.25">
      <c r="A5" s="8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5">
      <c r="A6" s="9" t="s">
        <v>2073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5">
      <c r="A7" s="9" t="s">
        <v>2074</v>
      </c>
      <c r="B7">
        <v>7</v>
      </c>
      <c r="C7">
        <v>28</v>
      </c>
      <c r="E7">
        <v>44</v>
      </c>
      <c r="F7">
        <v>79</v>
      </c>
    </row>
    <row r="8" spans="1:6" x14ac:dyDescent="0.25">
      <c r="A8" s="9" t="s">
        <v>2075</v>
      </c>
      <c r="B8">
        <v>4</v>
      </c>
      <c r="C8">
        <v>33</v>
      </c>
      <c r="E8">
        <v>49</v>
      </c>
      <c r="F8">
        <v>86</v>
      </c>
    </row>
    <row r="9" spans="1:6" x14ac:dyDescent="0.25">
      <c r="A9" s="9" t="s">
        <v>2076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5">
      <c r="A10" s="9" t="s">
        <v>2077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5">
      <c r="A11" s="9" t="s">
        <v>2078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5">
      <c r="A12" s="9" t="s">
        <v>2079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5">
      <c r="A13" s="9" t="s">
        <v>2080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5">
      <c r="A14" s="9" t="s">
        <v>2081</v>
      </c>
      <c r="B14">
        <v>5</v>
      </c>
      <c r="C14">
        <v>23</v>
      </c>
      <c r="E14">
        <v>45</v>
      </c>
      <c r="F14">
        <v>73</v>
      </c>
    </row>
    <row r="15" spans="1:6" x14ac:dyDescent="0.25">
      <c r="A15" s="9" t="s">
        <v>2082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5">
      <c r="A16" s="9" t="s">
        <v>2083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5">
      <c r="A17" s="9" t="s">
        <v>2084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5">
      <c r="A18" s="9" t="s">
        <v>2067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CE3E9-2937-433C-B7F2-1056AC8A9D40}">
  <dimension ref="A1:H13"/>
  <sheetViews>
    <sheetView workbookViewId="0">
      <selection activeCell="B2" sqref="B2"/>
    </sheetView>
  </sheetViews>
  <sheetFormatPr defaultRowHeight="15.75" x14ac:dyDescent="0.25"/>
  <cols>
    <col min="1" max="1" width="26.375" bestFit="1" customWidth="1"/>
    <col min="2" max="2" width="17.25" bestFit="1" customWidth="1"/>
    <col min="3" max="3" width="13.5" bestFit="1" customWidth="1"/>
    <col min="4" max="4" width="16.625" bestFit="1" customWidth="1"/>
    <col min="5" max="5" width="12.625" bestFit="1" customWidth="1"/>
    <col min="6" max="6" width="19.875" bestFit="1" customWidth="1"/>
    <col min="7" max="7" width="16.125" bestFit="1" customWidth="1"/>
    <col min="8" max="8" width="19.375" bestFit="1" customWidth="1"/>
  </cols>
  <sheetData>
    <row r="1" spans="1:8" x14ac:dyDescent="0.25">
      <c r="A1" s="20" t="s">
        <v>2088</v>
      </c>
      <c r="B1" s="20" t="s">
        <v>2089</v>
      </c>
      <c r="C1" s="20" t="s">
        <v>2090</v>
      </c>
      <c r="D1" s="20" t="s">
        <v>2091</v>
      </c>
      <c r="E1" s="20" t="s">
        <v>2092</v>
      </c>
      <c r="F1" s="20" t="s">
        <v>2093</v>
      </c>
      <c r="G1" s="20" t="s">
        <v>2094</v>
      </c>
      <c r="H1" s="20" t="s">
        <v>2095</v>
      </c>
    </row>
    <row r="2" spans="1:8" x14ac:dyDescent="0.25">
      <c r="A2" t="s">
        <v>2096</v>
      </c>
      <c r="B2">
        <f>COUNTIFS(Crowdfunding!D2:D1001,"&lt;1000",Crowdfunding!G2:G1001,Crowdfunding!G3)</f>
        <v>30</v>
      </c>
      <c r="C2">
        <f>COUNTIFS(Crowdfunding!D2:D1001,"&lt;1000",Crowdfunding!G2:G1001,Crowdfunding!G2)</f>
        <v>20</v>
      </c>
      <c r="D2">
        <f>COUNTIFS(Crowdfunding!D2:D1001,"&lt;1000",Crowdfunding!G2:G1001,Crowdfunding!G20)</f>
        <v>1</v>
      </c>
      <c r="E2">
        <f>SUM(B2:D2)</f>
        <v>51</v>
      </c>
      <c r="F2" s="21">
        <f>B2/E2</f>
        <v>0.58823529411764708</v>
      </c>
      <c r="G2" s="21">
        <f>C2/E2</f>
        <v>0.39215686274509803</v>
      </c>
      <c r="H2" s="21">
        <f>D2/E2</f>
        <v>1.9607843137254902E-2</v>
      </c>
    </row>
    <row r="3" spans="1:8" x14ac:dyDescent="0.25">
      <c r="A3" t="s">
        <v>2097</v>
      </c>
      <c r="B3">
        <f>COUNTIFS(Crowdfunding!$D$2:$D$1001,"&gt;=1000",Crowdfunding!$D$2:$D$1001,"&lt;=4999",Crowdfunding!$G$2:$G$1001,Crowdfunding!$G$3)</f>
        <v>191</v>
      </c>
      <c r="C3">
        <f>COUNTIFS(Crowdfunding!$D$2:$D$1001,"&gt;=1000",Crowdfunding!$D$2:$D$1001,"&lt;=4999",Crowdfunding!$G$2:$G$1001,Crowdfunding!$G$2)</f>
        <v>38</v>
      </c>
      <c r="D3">
        <f>COUNTIFS(Crowdfunding!$D$2:$D$1001,"&gt;=1000",Crowdfunding!$D$2:$D$1001,"&lt;=4999",Crowdfunding!$G$2:$G$1001,Crowdfunding!$G$20)</f>
        <v>2</v>
      </c>
      <c r="E3">
        <f t="shared" ref="E3:E13" si="0">SUM(B3:D3)</f>
        <v>231</v>
      </c>
      <c r="F3" s="21">
        <f t="shared" ref="F3:F13" si="1">B3/E3</f>
        <v>0.82683982683982682</v>
      </c>
      <c r="G3" s="21">
        <f t="shared" ref="G3:G13" si="2">C3/E3</f>
        <v>0.16450216450216451</v>
      </c>
      <c r="H3" s="21">
        <f t="shared" ref="H3:H13" si="3">D3/E3</f>
        <v>8.658008658008658E-3</v>
      </c>
    </row>
    <row r="4" spans="1:8" x14ac:dyDescent="0.25">
      <c r="A4" t="s">
        <v>2098</v>
      </c>
      <c r="B4">
        <f>COUNTIFS(Crowdfunding!$D$2:$D$1001,"&gt;=5000",Crowdfunding!$D$2:$D$1001,"&lt;=9999",Crowdfunding!$G$2:$G$1001,Crowdfunding!$G$3)</f>
        <v>164</v>
      </c>
      <c r="C4">
        <f>COUNTIFS(Crowdfunding!$D$2:$D$1001,"&gt;=5000",Crowdfunding!$D$2:$D$1001,"&lt;=9999",Crowdfunding!$G$2:$G$1001,Crowdfunding!$G$2)</f>
        <v>126</v>
      </c>
      <c r="D4">
        <f>COUNTIFS(Crowdfunding!$D$2:$D$1001,"&gt;=5000",Crowdfunding!$D$2:$D$1001,"&lt;=9999",Crowdfunding!$G$2:$G$1001,Crowdfunding!$G$20)</f>
        <v>25</v>
      </c>
      <c r="E4">
        <f t="shared" si="0"/>
        <v>315</v>
      </c>
      <c r="F4" s="21">
        <f t="shared" si="1"/>
        <v>0.52063492063492067</v>
      </c>
      <c r="G4" s="21">
        <f t="shared" si="2"/>
        <v>0.4</v>
      </c>
      <c r="H4" s="21">
        <f t="shared" si="3"/>
        <v>7.9365079365079361E-2</v>
      </c>
    </row>
    <row r="5" spans="1:8" x14ac:dyDescent="0.25">
      <c r="A5" t="s">
        <v>2099</v>
      </c>
      <c r="B5">
        <f>COUNTIFS(Crowdfunding!$D$2:$D$1001,"&gt;=10000",Crowdfunding!$D$2:$D$1001,"&lt;=14999",Crowdfunding!$G$2:$G$1001,Crowdfunding!$G$3)</f>
        <v>4</v>
      </c>
      <c r="C5">
        <f>COUNTIFS(Crowdfunding!$D$2:$D$1001,"&gt;=10000",Crowdfunding!$D$2:$D$1001,"&lt;=14999",Crowdfunding!$G$2:$G$1001,Crowdfunding!$G$2)</f>
        <v>5</v>
      </c>
      <c r="D5">
        <f>COUNTIFS(Crowdfunding!$D$2:$D$1001,"&gt;=10000",Crowdfunding!$D$2:$D$1001,"&lt;=14999",Crowdfunding!$G$2:$G$1001,Crowdfunding!$G$20)</f>
        <v>0</v>
      </c>
      <c r="E5">
        <f t="shared" si="0"/>
        <v>9</v>
      </c>
      <c r="F5" s="21">
        <f t="shared" si="1"/>
        <v>0.44444444444444442</v>
      </c>
      <c r="G5" s="21">
        <f t="shared" si="2"/>
        <v>0.55555555555555558</v>
      </c>
      <c r="H5" s="21">
        <f t="shared" si="3"/>
        <v>0</v>
      </c>
    </row>
    <row r="6" spans="1:8" x14ac:dyDescent="0.25">
      <c r="A6" t="s">
        <v>2100</v>
      </c>
      <c r="B6">
        <f>COUNTIFS(Crowdfunding!$D$2:$D$1001,"&gt;=15000",Crowdfunding!$D$2:$D$1001,"&lt;=19999",Crowdfunding!$G$2:$G$1001,Crowdfunding!$G$3)</f>
        <v>10</v>
      </c>
      <c r="C6">
        <f>COUNTIFS(Crowdfunding!$D$2:$D$1001,"&gt;=15000",Crowdfunding!$D$2:$D$1001,"&lt;=19999",Crowdfunding!$G$2:$G$1001,Crowdfunding!$G$2)</f>
        <v>0</v>
      </c>
      <c r="D6">
        <f>COUNTIFS(Crowdfunding!$D$2:$D$1001,"&gt;=15000",Crowdfunding!$D$2:$D$1001,"&lt;=19999",Crowdfunding!$G$2:$G$1001,Crowdfunding!$G$20)</f>
        <v>0</v>
      </c>
      <c r="E6">
        <f t="shared" si="0"/>
        <v>10</v>
      </c>
      <c r="F6" s="21">
        <f t="shared" si="1"/>
        <v>1</v>
      </c>
      <c r="G6" s="21">
        <f t="shared" si="2"/>
        <v>0</v>
      </c>
      <c r="H6" s="21">
        <f t="shared" si="3"/>
        <v>0</v>
      </c>
    </row>
    <row r="7" spans="1:8" x14ac:dyDescent="0.25">
      <c r="A7" t="s">
        <v>2101</v>
      </c>
      <c r="B7">
        <f>COUNTIFS(Crowdfunding!$D$2:$D$1001,"&gt;=20000",Crowdfunding!$D$2:$D$1001,"&lt;=24999",Crowdfunding!$G$2:$G$1001,Crowdfunding!$G$3)</f>
        <v>7</v>
      </c>
      <c r="C7">
        <f>COUNTIFS(Crowdfunding!$D$2:$D$1001,"&gt;=20000",Crowdfunding!$D$2:$D$1001,"&lt;=24999",Crowdfunding!$G$2:$G$1001,Crowdfunding!$G$2)</f>
        <v>0</v>
      </c>
      <c r="D7">
        <f>COUNTIFS(Crowdfunding!$D$2:$D$1001,"&gt;=20000",Crowdfunding!$D$2:$D$1001,"&lt;=24999",Crowdfunding!$G$2:$G$1001,Crowdfunding!$G$20)</f>
        <v>0</v>
      </c>
      <c r="E7">
        <f t="shared" si="0"/>
        <v>7</v>
      </c>
      <c r="F7" s="21">
        <f t="shared" si="1"/>
        <v>1</v>
      </c>
      <c r="G7" s="21">
        <f t="shared" si="2"/>
        <v>0</v>
      </c>
      <c r="H7" s="21">
        <f t="shared" si="3"/>
        <v>0</v>
      </c>
    </row>
    <row r="8" spans="1:8" x14ac:dyDescent="0.25">
      <c r="A8" t="s">
        <v>2102</v>
      </c>
      <c r="B8">
        <f>COUNTIFS(Crowdfunding!$D$2:$D$1001,"&gt;=25000",Crowdfunding!$D$2:$D$1001,"&lt;=29999",Crowdfunding!$G$2:$G$1001,Crowdfunding!$G$3)</f>
        <v>11</v>
      </c>
      <c r="C8">
        <f>COUNTIFS(Crowdfunding!$D$2:$D$1001,"&gt;=25000",Crowdfunding!$D$2:$D$1001,"&lt;=29999",Crowdfunding!$G$2:$G$1001,Crowdfunding!$G$2)</f>
        <v>3</v>
      </c>
      <c r="D8">
        <f>COUNTIFS(Crowdfunding!$D$2:$D$1001,"&gt;=25000",Crowdfunding!$D$2:$D$1001,"&lt;=29999",Crowdfunding!$G$2:$G$1001,Crowdfunding!$G$20)</f>
        <v>0</v>
      </c>
      <c r="E8">
        <f t="shared" si="0"/>
        <v>14</v>
      </c>
      <c r="F8" s="21">
        <f t="shared" si="1"/>
        <v>0.7857142857142857</v>
      </c>
      <c r="G8" s="21">
        <f t="shared" si="2"/>
        <v>0.21428571428571427</v>
      </c>
      <c r="H8" s="21">
        <f t="shared" si="3"/>
        <v>0</v>
      </c>
    </row>
    <row r="9" spans="1:8" x14ac:dyDescent="0.25">
      <c r="A9" t="s">
        <v>2103</v>
      </c>
      <c r="B9">
        <f>COUNTIFS(Crowdfunding!$D$2:$D$1001,"&gt;=30000",Crowdfunding!$D$2:$D$1001,"&lt;=34999",Crowdfunding!$G$2:$G$1001,Crowdfunding!$G$3)</f>
        <v>7</v>
      </c>
      <c r="C9">
        <f>COUNTIFS(Crowdfunding!$D$2:$D$1001,"&gt;=30000",Crowdfunding!$D$2:$D$1001,"&lt;=34999",Crowdfunding!$G$2:$G$1001,Crowdfunding!$G$2)</f>
        <v>0</v>
      </c>
      <c r="D9">
        <f>COUNTIFS(Crowdfunding!$D$2:$D$1001,"&gt;=30000",Crowdfunding!$D$2:$D$1001,"&lt;=34999",Crowdfunding!$G$2:$G$1001,Crowdfunding!$G$20)</f>
        <v>0</v>
      </c>
      <c r="E9">
        <f t="shared" si="0"/>
        <v>7</v>
      </c>
      <c r="F9" s="21">
        <f t="shared" si="1"/>
        <v>1</v>
      </c>
      <c r="G9" s="21">
        <f t="shared" si="2"/>
        <v>0</v>
      </c>
      <c r="H9" s="21">
        <f t="shared" si="3"/>
        <v>0</v>
      </c>
    </row>
    <row r="10" spans="1:8" x14ac:dyDescent="0.25">
      <c r="A10" t="s">
        <v>2104</v>
      </c>
      <c r="B10">
        <f>COUNTIFS(Crowdfunding!$D$2:$D$1001,"&gt;=35000",Crowdfunding!$D$2:$D$1001,"&lt;=39999",Crowdfunding!$G$2:$G$1001,Crowdfunding!$G$3)</f>
        <v>8</v>
      </c>
      <c r="C10">
        <f>COUNTIFS(Crowdfunding!$D$2:$D$1001,"&gt;=35000",Crowdfunding!$D$2:$D$1001,"&lt;=39999",Crowdfunding!$G$2:$G$1001,Crowdfunding!$G$2)</f>
        <v>3</v>
      </c>
      <c r="D10">
        <f>COUNTIFS(Crowdfunding!$D$2:$D$1001,"&gt;=35000",Crowdfunding!$D$2:$D$1001,"&lt;=39999",Crowdfunding!$G$2:$G$1001,Crowdfunding!$G$20)</f>
        <v>1</v>
      </c>
      <c r="E10">
        <f t="shared" si="0"/>
        <v>12</v>
      </c>
      <c r="F10" s="21">
        <f t="shared" si="1"/>
        <v>0.66666666666666663</v>
      </c>
      <c r="G10" s="21">
        <f t="shared" si="2"/>
        <v>0.25</v>
      </c>
      <c r="H10" s="21">
        <f t="shared" si="3"/>
        <v>8.3333333333333329E-2</v>
      </c>
    </row>
    <row r="11" spans="1:8" x14ac:dyDescent="0.25">
      <c r="A11" t="s">
        <v>2105</v>
      </c>
      <c r="B11">
        <f>COUNTIFS(Crowdfunding!$D$2:$D$1001,"&gt;=40000",Crowdfunding!$D$2:$D$1001,"&lt;=44999",Crowdfunding!$G$2:$G$1001,Crowdfunding!$G$3)</f>
        <v>11</v>
      </c>
      <c r="C11">
        <f>COUNTIFS(Crowdfunding!$D$2:$D$1001,"&gt;=40000",Crowdfunding!$D$2:$D$1001,"&lt;=44999",Crowdfunding!$G$2:$G$1001,Crowdfunding!$G$2)</f>
        <v>3</v>
      </c>
      <c r="D11">
        <f>COUNTIFS(Crowdfunding!$D$2:$D$1001,"&gt;=40000",Crowdfunding!$D$2:$D$1001,"&lt;=44999",Crowdfunding!$G$2:$G$1001,Crowdfunding!$G$20)</f>
        <v>0</v>
      </c>
      <c r="E11">
        <f t="shared" si="0"/>
        <v>14</v>
      </c>
      <c r="F11" s="21">
        <f t="shared" si="1"/>
        <v>0.7857142857142857</v>
      </c>
      <c r="G11" s="21">
        <f t="shared" si="2"/>
        <v>0.21428571428571427</v>
      </c>
      <c r="H11" s="21">
        <f t="shared" si="3"/>
        <v>0</v>
      </c>
    </row>
    <row r="12" spans="1:8" x14ac:dyDescent="0.25">
      <c r="A12" t="s">
        <v>2106</v>
      </c>
      <c r="B12">
        <f>COUNTIFS(Crowdfunding!$D$2:$D$1001,"&gt;=45000",Crowdfunding!$D$2:$D$1001,"&lt;=49999",Crowdfunding!$G$2:$G$1001,Crowdfunding!$G$3)</f>
        <v>8</v>
      </c>
      <c r="C12">
        <f>COUNTIFS(Crowdfunding!$D$2:$D$1001,"&gt;=45000",Crowdfunding!$D$2:$D$1001,"&lt;=49999",Crowdfunding!$G$2:$G$1001,Crowdfunding!$G$2)</f>
        <v>3</v>
      </c>
      <c r="D12">
        <f>COUNTIFS(Crowdfunding!$D$2:$D$1001,"&gt;=45000",Crowdfunding!$D$2:$D$1001,"&lt;=49999",Crowdfunding!$G$2:$G$1001,Crowdfunding!$G$20)</f>
        <v>0</v>
      </c>
      <c r="E12">
        <f t="shared" si="0"/>
        <v>11</v>
      </c>
      <c r="F12" s="21">
        <f t="shared" si="1"/>
        <v>0.72727272727272729</v>
      </c>
      <c r="G12" s="21">
        <f t="shared" si="2"/>
        <v>0.27272727272727271</v>
      </c>
      <c r="H12" s="21">
        <f t="shared" si="3"/>
        <v>0</v>
      </c>
    </row>
    <row r="13" spans="1:8" x14ac:dyDescent="0.25">
      <c r="A13" t="s">
        <v>2107</v>
      </c>
      <c r="B13">
        <f>COUNTIFS(Crowdfunding!D2:D1001,"&gt;50000",Crowdfunding!G2:G1001,Crowdfunding!G3)</f>
        <v>114</v>
      </c>
      <c r="C13">
        <f>COUNTIFS(Crowdfunding!D2:D1001,"&gt;50000",Crowdfunding!G2:G1001,Crowdfunding!G2)</f>
        <v>163</v>
      </c>
      <c r="D13">
        <f>COUNTIFS(Crowdfunding!D2:D1001,"&gt;50000",Crowdfunding!G2:G1001,Crowdfunding!G20)</f>
        <v>28</v>
      </c>
      <c r="E13">
        <f t="shared" si="0"/>
        <v>305</v>
      </c>
      <c r="F13" s="21">
        <f t="shared" si="1"/>
        <v>0.3737704918032787</v>
      </c>
      <c r="G13" s="21">
        <f t="shared" si="2"/>
        <v>0.53442622950819674</v>
      </c>
      <c r="H13" s="21">
        <f t="shared" si="3"/>
        <v>9.1803278688524587E-2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0B0FD-8592-441B-B3F4-1615324D8ACF}">
  <dimension ref="A1:O566"/>
  <sheetViews>
    <sheetView tabSelected="1" workbookViewId="0">
      <selection activeCell="L10" sqref="L10"/>
    </sheetView>
  </sheetViews>
  <sheetFormatPr defaultRowHeight="15.75" x14ac:dyDescent="0.25"/>
  <cols>
    <col min="1" max="1" width="8.5" bestFit="1" customWidth="1"/>
    <col min="2" max="2" width="13.5" bestFit="1" customWidth="1"/>
    <col min="3" max="4" width="8.5" bestFit="1" customWidth="1"/>
    <col min="5" max="5" width="13.5" bestFit="1" customWidth="1"/>
    <col min="9" max="9" width="9.375" bestFit="1" customWidth="1"/>
    <col min="14" max="14" width="8" bestFit="1" customWidth="1"/>
    <col min="15" max="15" width="16.375" bestFit="1" customWidth="1"/>
  </cols>
  <sheetData>
    <row r="1" spans="1:15" x14ac:dyDescent="0.25">
      <c r="A1" s="20" t="s">
        <v>4</v>
      </c>
      <c r="B1" s="1" t="s">
        <v>5</v>
      </c>
      <c r="D1" s="20" t="s">
        <v>4</v>
      </c>
      <c r="E1" s="1" t="s">
        <v>5</v>
      </c>
      <c r="J1" t="s">
        <v>2108</v>
      </c>
      <c r="K1" t="s">
        <v>2109</v>
      </c>
      <c r="L1" t="s">
        <v>2110</v>
      </c>
      <c r="M1" t="s">
        <v>2111</v>
      </c>
      <c r="N1" t="s">
        <v>2112</v>
      </c>
      <c r="O1" t="s">
        <v>2113</v>
      </c>
    </row>
    <row r="2" spans="1:15" x14ac:dyDescent="0.25">
      <c r="A2" s="5" t="s">
        <v>20</v>
      </c>
      <c r="B2">
        <v>158</v>
      </c>
      <c r="D2" s="4" t="s">
        <v>14</v>
      </c>
      <c r="E2">
        <v>0</v>
      </c>
      <c r="I2" s="5" t="s">
        <v>20</v>
      </c>
      <c r="J2">
        <f>AVERAGE(B2:B566)</f>
        <v>851.14690265486729</v>
      </c>
      <c r="K2">
        <f>MEDIAN(B2:B566)</f>
        <v>201</v>
      </c>
      <c r="L2">
        <f>MIN(B2:B566)</f>
        <v>16</v>
      </c>
      <c r="M2">
        <f>MAX(B2:B566)</f>
        <v>7295</v>
      </c>
      <c r="N2">
        <f>_xlfn.VAR.P(B2:B566)</f>
        <v>1603373.7324019109</v>
      </c>
      <c r="O2">
        <f>_xlfn.STDEV.P(B2:B566)</f>
        <v>1266.2439466397898</v>
      </c>
    </row>
    <row r="3" spans="1:15" x14ac:dyDescent="0.25">
      <c r="A3" s="5" t="s">
        <v>20</v>
      </c>
      <c r="B3">
        <v>1425</v>
      </c>
      <c r="D3" s="4" t="s">
        <v>14</v>
      </c>
      <c r="E3">
        <v>24</v>
      </c>
      <c r="I3" s="4" t="s">
        <v>14</v>
      </c>
      <c r="J3">
        <f>AVERAGE(E2:E365)</f>
        <v>585.61538461538464</v>
      </c>
      <c r="K3">
        <f>MEDIAN(E2:E365)</f>
        <v>114.5</v>
      </c>
      <c r="L3">
        <f>MIN(E2:E365)</f>
        <v>0</v>
      </c>
      <c r="M3">
        <f>MAX(E2:E365)</f>
        <v>6080</v>
      </c>
      <c r="N3">
        <f>_xlfn.VAR.P(E2:E365)</f>
        <v>921574.68174133555</v>
      </c>
      <c r="O3">
        <f>_xlfn.STDEV.P(E2:E365)</f>
        <v>959.98681331637863</v>
      </c>
    </row>
    <row r="4" spans="1:15" x14ac:dyDescent="0.25">
      <c r="A4" s="5" t="s">
        <v>20</v>
      </c>
      <c r="B4">
        <v>174</v>
      </c>
      <c r="D4" s="4" t="s">
        <v>14</v>
      </c>
      <c r="E4">
        <v>53</v>
      </c>
    </row>
    <row r="5" spans="1:15" x14ac:dyDescent="0.25">
      <c r="A5" s="5" t="s">
        <v>20</v>
      </c>
      <c r="B5">
        <v>227</v>
      </c>
      <c r="D5" s="4" t="s">
        <v>14</v>
      </c>
      <c r="E5">
        <v>18</v>
      </c>
    </row>
    <row r="6" spans="1:15" x14ac:dyDescent="0.25">
      <c r="A6" s="5" t="s">
        <v>20</v>
      </c>
      <c r="B6">
        <v>220</v>
      </c>
      <c r="D6" s="4" t="s">
        <v>14</v>
      </c>
      <c r="E6">
        <v>44</v>
      </c>
    </row>
    <row r="7" spans="1:15" x14ac:dyDescent="0.25">
      <c r="A7" s="5" t="s">
        <v>20</v>
      </c>
      <c r="B7">
        <v>98</v>
      </c>
      <c r="D7" s="4" t="s">
        <v>14</v>
      </c>
      <c r="E7">
        <v>27</v>
      </c>
    </row>
    <row r="8" spans="1:15" x14ac:dyDescent="0.25">
      <c r="A8" s="5" t="s">
        <v>20</v>
      </c>
      <c r="B8">
        <v>100</v>
      </c>
      <c r="D8" s="4" t="s">
        <v>14</v>
      </c>
      <c r="E8">
        <v>55</v>
      </c>
    </row>
    <row r="9" spans="1:15" x14ac:dyDescent="0.25">
      <c r="A9" s="5" t="s">
        <v>20</v>
      </c>
      <c r="B9">
        <v>1249</v>
      </c>
      <c r="D9" s="4" t="s">
        <v>14</v>
      </c>
      <c r="E9">
        <v>200</v>
      </c>
    </row>
    <row r="10" spans="1:15" x14ac:dyDescent="0.25">
      <c r="A10" s="5" t="s">
        <v>20</v>
      </c>
      <c r="B10">
        <v>1396</v>
      </c>
      <c r="D10" s="4" t="s">
        <v>14</v>
      </c>
      <c r="E10">
        <v>452</v>
      </c>
    </row>
    <row r="11" spans="1:15" x14ac:dyDescent="0.25">
      <c r="A11" s="5" t="s">
        <v>20</v>
      </c>
      <c r="B11">
        <v>890</v>
      </c>
      <c r="D11" s="4" t="s">
        <v>14</v>
      </c>
      <c r="E11">
        <v>674</v>
      </c>
    </row>
    <row r="12" spans="1:15" x14ac:dyDescent="0.25">
      <c r="A12" s="5" t="s">
        <v>20</v>
      </c>
      <c r="B12">
        <v>142</v>
      </c>
      <c r="D12" s="4" t="s">
        <v>14</v>
      </c>
      <c r="E12">
        <v>558</v>
      </c>
    </row>
    <row r="13" spans="1:15" x14ac:dyDescent="0.25">
      <c r="A13" s="5" t="s">
        <v>20</v>
      </c>
      <c r="B13">
        <v>2673</v>
      </c>
      <c r="D13" s="4" t="s">
        <v>14</v>
      </c>
      <c r="E13">
        <v>15</v>
      </c>
    </row>
    <row r="14" spans="1:15" x14ac:dyDescent="0.25">
      <c r="A14" s="5" t="s">
        <v>20</v>
      </c>
      <c r="B14">
        <v>163</v>
      </c>
      <c r="D14" s="4" t="s">
        <v>14</v>
      </c>
      <c r="E14">
        <v>2307</v>
      </c>
    </row>
    <row r="15" spans="1:15" x14ac:dyDescent="0.25">
      <c r="A15" s="5" t="s">
        <v>20</v>
      </c>
      <c r="B15">
        <v>2220</v>
      </c>
      <c r="D15" s="4" t="s">
        <v>14</v>
      </c>
      <c r="E15">
        <v>88</v>
      </c>
    </row>
    <row r="16" spans="1:15" x14ac:dyDescent="0.25">
      <c r="A16" s="5" t="s">
        <v>20</v>
      </c>
      <c r="B16">
        <v>1606</v>
      </c>
      <c r="D16" s="4" t="s">
        <v>14</v>
      </c>
      <c r="E16">
        <v>48</v>
      </c>
    </row>
    <row r="17" spans="1:5" x14ac:dyDescent="0.25">
      <c r="A17" s="5" t="s">
        <v>20</v>
      </c>
      <c r="B17">
        <v>129</v>
      </c>
      <c r="D17" s="4" t="s">
        <v>14</v>
      </c>
      <c r="E17">
        <v>1</v>
      </c>
    </row>
    <row r="18" spans="1:5" x14ac:dyDescent="0.25">
      <c r="A18" s="5" t="s">
        <v>20</v>
      </c>
      <c r="B18">
        <v>226</v>
      </c>
      <c r="D18" s="4" t="s">
        <v>14</v>
      </c>
      <c r="E18">
        <v>1467</v>
      </c>
    </row>
    <row r="19" spans="1:5" x14ac:dyDescent="0.25">
      <c r="A19" s="5" t="s">
        <v>20</v>
      </c>
      <c r="B19">
        <v>5419</v>
      </c>
      <c r="D19" s="4" t="s">
        <v>14</v>
      </c>
      <c r="E19">
        <v>75</v>
      </c>
    </row>
    <row r="20" spans="1:5" x14ac:dyDescent="0.25">
      <c r="A20" s="5" t="s">
        <v>20</v>
      </c>
      <c r="B20">
        <v>165</v>
      </c>
      <c r="D20" s="4" t="s">
        <v>14</v>
      </c>
      <c r="E20">
        <v>120</v>
      </c>
    </row>
    <row r="21" spans="1:5" x14ac:dyDescent="0.25">
      <c r="A21" s="5" t="s">
        <v>20</v>
      </c>
      <c r="B21">
        <v>1965</v>
      </c>
      <c r="D21" s="4" t="s">
        <v>14</v>
      </c>
      <c r="E21">
        <v>2253</v>
      </c>
    </row>
    <row r="22" spans="1:5" x14ac:dyDescent="0.25">
      <c r="A22" s="5" t="s">
        <v>20</v>
      </c>
      <c r="B22">
        <v>16</v>
      </c>
      <c r="D22" s="4" t="s">
        <v>14</v>
      </c>
      <c r="E22">
        <v>5</v>
      </c>
    </row>
    <row r="23" spans="1:5" x14ac:dyDescent="0.25">
      <c r="A23" s="5" t="s">
        <v>20</v>
      </c>
      <c r="B23">
        <v>107</v>
      </c>
      <c r="D23" s="4" t="s">
        <v>14</v>
      </c>
      <c r="E23">
        <v>38</v>
      </c>
    </row>
    <row r="24" spans="1:5" x14ac:dyDescent="0.25">
      <c r="A24" s="5" t="s">
        <v>20</v>
      </c>
      <c r="B24">
        <v>134</v>
      </c>
      <c r="D24" s="4" t="s">
        <v>14</v>
      </c>
      <c r="E24">
        <v>12</v>
      </c>
    </row>
    <row r="25" spans="1:5" x14ac:dyDescent="0.25">
      <c r="A25" s="5" t="s">
        <v>20</v>
      </c>
      <c r="B25">
        <v>198</v>
      </c>
      <c r="D25" s="4" t="s">
        <v>14</v>
      </c>
      <c r="E25">
        <v>1684</v>
      </c>
    </row>
    <row r="26" spans="1:5" x14ac:dyDescent="0.25">
      <c r="A26" s="5" t="s">
        <v>20</v>
      </c>
      <c r="B26">
        <v>111</v>
      </c>
      <c r="D26" s="4" t="s">
        <v>14</v>
      </c>
      <c r="E26">
        <v>56</v>
      </c>
    </row>
    <row r="27" spans="1:5" x14ac:dyDescent="0.25">
      <c r="A27" s="5" t="s">
        <v>20</v>
      </c>
      <c r="B27">
        <v>222</v>
      </c>
      <c r="D27" s="4" t="s">
        <v>14</v>
      </c>
      <c r="E27">
        <v>838</v>
      </c>
    </row>
    <row r="28" spans="1:5" x14ac:dyDescent="0.25">
      <c r="A28" s="5" t="s">
        <v>20</v>
      </c>
      <c r="B28">
        <v>6212</v>
      </c>
      <c r="D28" s="4" t="s">
        <v>14</v>
      </c>
      <c r="E28">
        <v>1000</v>
      </c>
    </row>
    <row r="29" spans="1:5" x14ac:dyDescent="0.25">
      <c r="A29" s="5" t="s">
        <v>20</v>
      </c>
      <c r="B29">
        <v>98</v>
      </c>
      <c r="D29" s="4" t="s">
        <v>14</v>
      </c>
      <c r="E29">
        <v>1482</v>
      </c>
    </row>
    <row r="30" spans="1:5" x14ac:dyDescent="0.25">
      <c r="A30" s="5" t="s">
        <v>20</v>
      </c>
      <c r="B30">
        <v>92</v>
      </c>
      <c r="D30" s="4" t="s">
        <v>14</v>
      </c>
      <c r="E30">
        <v>106</v>
      </c>
    </row>
    <row r="31" spans="1:5" x14ac:dyDescent="0.25">
      <c r="A31" s="5" t="s">
        <v>20</v>
      </c>
      <c r="B31">
        <v>149</v>
      </c>
      <c r="D31" s="4" t="s">
        <v>14</v>
      </c>
      <c r="E31">
        <v>679</v>
      </c>
    </row>
    <row r="32" spans="1:5" x14ac:dyDescent="0.25">
      <c r="A32" s="5" t="s">
        <v>20</v>
      </c>
      <c r="B32">
        <v>2431</v>
      </c>
      <c r="D32" s="4" t="s">
        <v>14</v>
      </c>
      <c r="E32">
        <v>1220</v>
      </c>
    </row>
    <row r="33" spans="1:5" x14ac:dyDescent="0.25">
      <c r="A33" s="5" t="s">
        <v>20</v>
      </c>
      <c r="B33">
        <v>303</v>
      </c>
      <c r="D33" s="4" t="s">
        <v>14</v>
      </c>
      <c r="E33">
        <v>1</v>
      </c>
    </row>
    <row r="34" spans="1:5" x14ac:dyDescent="0.25">
      <c r="A34" s="5" t="s">
        <v>20</v>
      </c>
      <c r="B34">
        <v>209</v>
      </c>
      <c r="D34" s="4" t="s">
        <v>14</v>
      </c>
      <c r="E34">
        <v>37</v>
      </c>
    </row>
    <row r="35" spans="1:5" x14ac:dyDescent="0.25">
      <c r="A35" s="5" t="s">
        <v>20</v>
      </c>
      <c r="B35">
        <v>131</v>
      </c>
      <c r="D35" s="4" t="s">
        <v>14</v>
      </c>
      <c r="E35">
        <v>60</v>
      </c>
    </row>
    <row r="36" spans="1:5" x14ac:dyDescent="0.25">
      <c r="A36" s="5" t="s">
        <v>20</v>
      </c>
      <c r="B36">
        <v>164</v>
      </c>
      <c r="D36" s="4" t="s">
        <v>14</v>
      </c>
      <c r="E36">
        <v>296</v>
      </c>
    </row>
    <row r="37" spans="1:5" x14ac:dyDescent="0.25">
      <c r="A37" s="5" t="s">
        <v>20</v>
      </c>
      <c r="B37">
        <v>201</v>
      </c>
      <c r="D37" s="4" t="s">
        <v>14</v>
      </c>
      <c r="E37">
        <v>3304</v>
      </c>
    </row>
    <row r="38" spans="1:5" x14ac:dyDescent="0.25">
      <c r="A38" s="5" t="s">
        <v>20</v>
      </c>
      <c r="B38">
        <v>211</v>
      </c>
      <c r="D38" s="4" t="s">
        <v>14</v>
      </c>
      <c r="E38">
        <v>73</v>
      </c>
    </row>
    <row r="39" spans="1:5" x14ac:dyDescent="0.25">
      <c r="A39" s="5" t="s">
        <v>20</v>
      </c>
      <c r="B39">
        <v>128</v>
      </c>
      <c r="D39" s="4" t="s">
        <v>14</v>
      </c>
      <c r="E39">
        <v>3387</v>
      </c>
    </row>
    <row r="40" spans="1:5" x14ac:dyDescent="0.25">
      <c r="A40" s="5" t="s">
        <v>20</v>
      </c>
      <c r="B40">
        <v>1600</v>
      </c>
      <c r="D40" s="4" t="s">
        <v>14</v>
      </c>
      <c r="E40">
        <v>662</v>
      </c>
    </row>
    <row r="41" spans="1:5" x14ac:dyDescent="0.25">
      <c r="A41" s="5" t="s">
        <v>20</v>
      </c>
      <c r="B41">
        <v>249</v>
      </c>
      <c r="D41" s="4" t="s">
        <v>14</v>
      </c>
      <c r="E41">
        <v>774</v>
      </c>
    </row>
    <row r="42" spans="1:5" x14ac:dyDescent="0.25">
      <c r="A42" s="5" t="s">
        <v>20</v>
      </c>
      <c r="B42">
        <v>236</v>
      </c>
      <c r="D42" s="4" t="s">
        <v>14</v>
      </c>
      <c r="E42">
        <v>672</v>
      </c>
    </row>
    <row r="43" spans="1:5" x14ac:dyDescent="0.25">
      <c r="A43" s="5" t="s">
        <v>20</v>
      </c>
      <c r="B43">
        <v>4065</v>
      </c>
      <c r="D43" s="4" t="s">
        <v>14</v>
      </c>
      <c r="E43">
        <v>940</v>
      </c>
    </row>
    <row r="44" spans="1:5" x14ac:dyDescent="0.25">
      <c r="A44" s="5" t="s">
        <v>20</v>
      </c>
      <c r="B44">
        <v>246</v>
      </c>
      <c r="D44" s="4" t="s">
        <v>14</v>
      </c>
      <c r="E44">
        <v>117</v>
      </c>
    </row>
    <row r="45" spans="1:5" x14ac:dyDescent="0.25">
      <c r="A45" s="5" t="s">
        <v>20</v>
      </c>
      <c r="B45">
        <v>2475</v>
      </c>
      <c r="D45" s="4" t="s">
        <v>14</v>
      </c>
      <c r="E45">
        <v>115</v>
      </c>
    </row>
    <row r="46" spans="1:5" x14ac:dyDescent="0.25">
      <c r="A46" s="5" t="s">
        <v>20</v>
      </c>
      <c r="B46">
        <v>76</v>
      </c>
      <c r="D46" s="4" t="s">
        <v>14</v>
      </c>
      <c r="E46">
        <v>326</v>
      </c>
    </row>
    <row r="47" spans="1:5" x14ac:dyDescent="0.25">
      <c r="A47" s="5" t="s">
        <v>20</v>
      </c>
      <c r="B47">
        <v>54</v>
      </c>
      <c r="D47" s="4" t="s">
        <v>14</v>
      </c>
      <c r="E47">
        <v>1</v>
      </c>
    </row>
    <row r="48" spans="1:5" x14ac:dyDescent="0.25">
      <c r="A48" s="5" t="s">
        <v>20</v>
      </c>
      <c r="B48">
        <v>88</v>
      </c>
      <c r="D48" s="4" t="s">
        <v>14</v>
      </c>
      <c r="E48">
        <v>1467</v>
      </c>
    </row>
    <row r="49" spans="1:5" x14ac:dyDescent="0.25">
      <c r="A49" s="5" t="s">
        <v>20</v>
      </c>
      <c r="B49">
        <v>85</v>
      </c>
      <c r="D49" s="4" t="s">
        <v>14</v>
      </c>
      <c r="E49">
        <v>5681</v>
      </c>
    </row>
    <row r="50" spans="1:5" x14ac:dyDescent="0.25">
      <c r="A50" s="5" t="s">
        <v>20</v>
      </c>
      <c r="B50">
        <v>170</v>
      </c>
      <c r="D50" s="4" t="s">
        <v>14</v>
      </c>
      <c r="E50">
        <v>1059</v>
      </c>
    </row>
    <row r="51" spans="1:5" x14ac:dyDescent="0.25">
      <c r="A51" s="5" t="s">
        <v>20</v>
      </c>
      <c r="B51">
        <v>330</v>
      </c>
      <c r="D51" s="4" t="s">
        <v>14</v>
      </c>
      <c r="E51">
        <v>1194</v>
      </c>
    </row>
    <row r="52" spans="1:5" x14ac:dyDescent="0.25">
      <c r="A52" s="5" t="s">
        <v>20</v>
      </c>
      <c r="B52">
        <v>127</v>
      </c>
      <c r="D52" s="4" t="s">
        <v>14</v>
      </c>
      <c r="E52">
        <v>30</v>
      </c>
    </row>
    <row r="53" spans="1:5" x14ac:dyDescent="0.25">
      <c r="A53" s="5" t="s">
        <v>20</v>
      </c>
      <c r="B53">
        <v>411</v>
      </c>
      <c r="D53" s="4" t="s">
        <v>14</v>
      </c>
      <c r="E53">
        <v>75</v>
      </c>
    </row>
    <row r="54" spans="1:5" x14ac:dyDescent="0.25">
      <c r="A54" s="5" t="s">
        <v>20</v>
      </c>
      <c r="B54">
        <v>180</v>
      </c>
      <c r="D54" s="4" t="s">
        <v>14</v>
      </c>
      <c r="E54">
        <v>955</v>
      </c>
    </row>
    <row r="55" spans="1:5" x14ac:dyDescent="0.25">
      <c r="A55" s="5" t="s">
        <v>20</v>
      </c>
      <c r="B55">
        <v>374</v>
      </c>
      <c r="D55" s="4" t="s">
        <v>14</v>
      </c>
      <c r="E55">
        <v>67</v>
      </c>
    </row>
    <row r="56" spans="1:5" x14ac:dyDescent="0.25">
      <c r="A56" s="5" t="s">
        <v>20</v>
      </c>
      <c r="B56">
        <v>71</v>
      </c>
      <c r="D56" s="4" t="s">
        <v>14</v>
      </c>
      <c r="E56">
        <v>5</v>
      </c>
    </row>
    <row r="57" spans="1:5" x14ac:dyDescent="0.25">
      <c r="A57" s="5" t="s">
        <v>20</v>
      </c>
      <c r="B57">
        <v>203</v>
      </c>
      <c r="D57" s="4" t="s">
        <v>14</v>
      </c>
      <c r="E57">
        <v>26</v>
      </c>
    </row>
    <row r="58" spans="1:5" x14ac:dyDescent="0.25">
      <c r="A58" s="5" t="s">
        <v>20</v>
      </c>
      <c r="B58">
        <v>113</v>
      </c>
      <c r="D58" s="4" t="s">
        <v>14</v>
      </c>
      <c r="E58">
        <v>1130</v>
      </c>
    </row>
    <row r="59" spans="1:5" x14ac:dyDescent="0.25">
      <c r="A59" s="5" t="s">
        <v>20</v>
      </c>
      <c r="B59">
        <v>96</v>
      </c>
      <c r="D59" s="4" t="s">
        <v>14</v>
      </c>
      <c r="E59">
        <v>782</v>
      </c>
    </row>
    <row r="60" spans="1:5" x14ac:dyDescent="0.25">
      <c r="A60" s="5" t="s">
        <v>20</v>
      </c>
      <c r="B60">
        <v>498</v>
      </c>
      <c r="D60" s="4" t="s">
        <v>14</v>
      </c>
      <c r="E60">
        <v>210</v>
      </c>
    </row>
    <row r="61" spans="1:5" x14ac:dyDescent="0.25">
      <c r="A61" s="5" t="s">
        <v>20</v>
      </c>
      <c r="B61">
        <v>180</v>
      </c>
      <c r="D61" s="4" t="s">
        <v>14</v>
      </c>
      <c r="E61">
        <v>136</v>
      </c>
    </row>
    <row r="62" spans="1:5" x14ac:dyDescent="0.25">
      <c r="A62" s="5" t="s">
        <v>20</v>
      </c>
      <c r="B62">
        <v>27</v>
      </c>
      <c r="D62" s="4" t="s">
        <v>14</v>
      </c>
      <c r="E62">
        <v>86</v>
      </c>
    </row>
    <row r="63" spans="1:5" x14ac:dyDescent="0.25">
      <c r="A63" s="5" t="s">
        <v>20</v>
      </c>
      <c r="B63">
        <v>2331</v>
      </c>
      <c r="D63" s="4" t="s">
        <v>14</v>
      </c>
      <c r="E63">
        <v>19</v>
      </c>
    </row>
    <row r="64" spans="1:5" x14ac:dyDescent="0.25">
      <c r="A64" s="5" t="s">
        <v>20</v>
      </c>
      <c r="B64">
        <v>113</v>
      </c>
      <c r="D64" s="4" t="s">
        <v>14</v>
      </c>
      <c r="E64">
        <v>886</v>
      </c>
    </row>
    <row r="65" spans="1:5" x14ac:dyDescent="0.25">
      <c r="A65" s="5" t="s">
        <v>20</v>
      </c>
      <c r="B65">
        <v>164</v>
      </c>
      <c r="D65" s="4" t="s">
        <v>14</v>
      </c>
      <c r="E65">
        <v>35</v>
      </c>
    </row>
    <row r="66" spans="1:5" x14ac:dyDescent="0.25">
      <c r="A66" s="5" t="s">
        <v>20</v>
      </c>
      <c r="B66">
        <v>164</v>
      </c>
      <c r="D66" s="4" t="s">
        <v>14</v>
      </c>
      <c r="E66">
        <v>24</v>
      </c>
    </row>
    <row r="67" spans="1:5" x14ac:dyDescent="0.25">
      <c r="A67" s="5" t="s">
        <v>20</v>
      </c>
      <c r="B67">
        <v>336</v>
      </c>
      <c r="D67" s="4" t="s">
        <v>14</v>
      </c>
      <c r="E67">
        <v>86</v>
      </c>
    </row>
    <row r="68" spans="1:5" x14ac:dyDescent="0.25">
      <c r="A68" s="5" t="s">
        <v>20</v>
      </c>
      <c r="B68">
        <v>1917</v>
      </c>
      <c r="D68" s="4" t="s">
        <v>14</v>
      </c>
      <c r="E68">
        <v>243</v>
      </c>
    </row>
    <row r="69" spans="1:5" x14ac:dyDescent="0.25">
      <c r="A69" s="5" t="s">
        <v>20</v>
      </c>
      <c r="B69">
        <v>95</v>
      </c>
      <c r="D69" s="4" t="s">
        <v>14</v>
      </c>
      <c r="E69">
        <v>65</v>
      </c>
    </row>
    <row r="70" spans="1:5" x14ac:dyDescent="0.25">
      <c r="A70" s="5" t="s">
        <v>20</v>
      </c>
      <c r="B70">
        <v>147</v>
      </c>
      <c r="D70" s="4" t="s">
        <v>14</v>
      </c>
      <c r="E70">
        <v>100</v>
      </c>
    </row>
    <row r="71" spans="1:5" x14ac:dyDescent="0.25">
      <c r="A71" s="5" t="s">
        <v>20</v>
      </c>
      <c r="B71">
        <v>86</v>
      </c>
      <c r="D71" s="4" t="s">
        <v>14</v>
      </c>
      <c r="E71">
        <v>168</v>
      </c>
    </row>
    <row r="72" spans="1:5" x14ac:dyDescent="0.25">
      <c r="A72" s="5" t="s">
        <v>20</v>
      </c>
      <c r="B72">
        <v>83</v>
      </c>
      <c r="D72" s="4" t="s">
        <v>14</v>
      </c>
      <c r="E72">
        <v>13</v>
      </c>
    </row>
    <row r="73" spans="1:5" x14ac:dyDescent="0.25">
      <c r="A73" s="5" t="s">
        <v>20</v>
      </c>
      <c r="B73">
        <v>676</v>
      </c>
      <c r="D73" s="4" t="s">
        <v>14</v>
      </c>
      <c r="E73">
        <v>1</v>
      </c>
    </row>
    <row r="74" spans="1:5" x14ac:dyDescent="0.25">
      <c r="A74" s="5" t="s">
        <v>20</v>
      </c>
      <c r="B74">
        <v>361</v>
      </c>
      <c r="D74" s="4" t="s">
        <v>14</v>
      </c>
      <c r="E74">
        <v>40</v>
      </c>
    </row>
    <row r="75" spans="1:5" x14ac:dyDescent="0.25">
      <c r="A75" s="5" t="s">
        <v>20</v>
      </c>
      <c r="B75">
        <v>131</v>
      </c>
      <c r="D75" s="4" t="s">
        <v>14</v>
      </c>
      <c r="E75">
        <v>226</v>
      </c>
    </row>
    <row r="76" spans="1:5" x14ac:dyDescent="0.25">
      <c r="A76" s="5" t="s">
        <v>20</v>
      </c>
      <c r="B76">
        <v>126</v>
      </c>
      <c r="D76" s="4" t="s">
        <v>14</v>
      </c>
      <c r="E76">
        <v>1625</v>
      </c>
    </row>
    <row r="77" spans="1:5" x14ac:dyDescent="0.25">
      <c r="A77" s="5" t="s">
        <v>20</v>
      </c>
      <c r="B77">
        <v>275</v>
      </c>
      <c r="D77" s="4" t="s">
        <v>14</v>
      </c>
      <c r="E77">
        <v>143</v>
      </c>
    </row>
    <row r="78" spans="1:5" x14ac:dyDescent="0.25">
      <c r="A78" s="5" t="s">
        <v>20</v>
      </c>
      <c r="B78">
        <v>67</v>
      </c>
      <c r="D78" s="4" t="s">
        <v>14</v>
      </c>
      <c r="E78">
        <v>934</v>
      </c>
    </row>
    <row r="79" spans="1:5" x14ac:dyDescent="0.25">
      <c r="A79" s="5" t="s">
        <v>20</v>
      </c>
      <c r="B79">
        <v>154</v>
      </c>
      <c r="D79" s="4" t="s">
        <v>14</v>
      </c>
      <c r="E79">
        <v>17</v>
      </c>
    </row>
    <row r="80" spans="1:5" x14ac:dyDescent="0.25">
      <c r="A80" s="5" t="s">
        <v>20</v>
      </c>
      <c r="B80">
        <v>1782</v>
      </c>
      <c r="D80" s="4" t="s">
        <v>14</v>
      </c>
      <c r="E80">
        <v>2179</v>
      </c>
    </row>
    <row r="81" spans="1:5" x14ac:dyDescent="0.25">
      <c r="A81" s="5" t="s">
        <v>20</v>
      </c>
      <c r="B81">
        <v>903</v>
      </c>
      <c r="D81" s="4" t="s">
        <v>14</v>
      </c>
      <c r="E81">
        <v>931</v>
      </c>
    </row>
    <row r="82" spans="1:5" x14ac:dyDescent="0.25">
      <c r="A82" s="5" t="s">
        <v>20</v>
      </c>
      <c r="B82">
        <v>94</v>
      </c>
      <c r="D82" s="4" t="s">
        <v>14</v>
      </c>
      <c r="E82">
        <v>92</v>
      </c>
    </row>
    <row r="83" spans="1:5" x14ac:dyDescent="0.25">
      <c r="A83" s="5" t="s">
        <v>20</v>
      </c>
      <c r="B83">
        <v>180</v>
      </c>
      <c r="D83" s="4" t="s">
        <v>14</v>
      </c>
      <c r="E83">
        <v>57</v>
      </c>
    </row>
    <row r="84" spans="1:5" x14ac:dyDescent="0.25">
      <c r="A84" s="5" t="s">
        <v>20</v>
      </c>
      <c r="B84">
        <v>533</v>
      </c>
      <c r="D84" s="4" t="s">
        <v>14</v>
      </c>
      <c r="E84">
        <v>41</v>
      </c>
    </row>
    <row r="85" spans="1:5" x14ac:dyDescent="0.25">
      <c r="A85" s="5" t="s">
        <v>20</v>
      </c>
      <c r="B85">
        <v>2443</v>
      </c>
      <c r="D85" s="4" t="s">
        <v>14</v>
      </c>
      <c r="E85">
        <v>1</v>
      </c>
    </row>
    <row r="86" spans="1:5" x14ac:dyDescent="0.25">
      <c r="A86" s="5" t="s">
        <v>20</v>
      </c>
      <c r="B86">
        <v>89</v>
      </c>
      <c r="D86" s="4" t="s">
        <v>14</v>
      </c>
      <c r="E86">
        <v>101</v>
      </c>
    </row>
    <row r="87" spans="1:5" x14ac:dyDescent="0.25">
      <c r="A87" s="5" t="s">
        <v>20</v>
      </c>
      <c r="B87">
        <v>159</v>
      </c>
      <c r="D87" s="4" t="s">
        <v>14</v>
      </c>
      <c r="E87">
        <v>1335</v>
      </c>
    </row>
    <row r="88" spans="1:5" x14ac:dyDescent="0.25">
      <c r="A88" s="5" t="s">
        <v>20</v>
      </c>
      <c r="B88">
        <v>50</v>
      </c>
      <c r="D88" s="4" t="s">
        <v>14</v>
      </c>
      <c r="E88">
        <v>15</v>
      </c>
    </row>
    <row r="89" spans="1:5" x14ac:dyDescent="0.25">
      <c r="A89" s="5" t="s">
        <v>20</v>
      </c>
      <c r="B89">
        <v>186</v>
      </c>
      <c r="D89" s="4" t="s">
        <v>14</v>
      </c>
      <c r="E89">
        <v>454</v>
      </c>
    </row>
    <row r="90" spans="1:5" x14ac:dyDescent="0.25">
      <c r="A90" s="5" t="s">
        <v>20</v>
      </c>
      <c r="B90">
        <v>1071</v>
      </c>
      <c r="D90" s="4" t="s">
        <v>14</v>
      </c>
      <c r="E90">
        <v>3182</v>
      </c>
    </row>
    <row r="91" spans="1:5" x14ac:dyDescent="0.25">
      <c r="A91" s="5" t="s">
        <v>20</v>
      </c>
      <c r="B91">
        <v>117</v>
      </c>
      <c r="D91" s="4" t="s">
        <v>14</v>
      </c>
      <c r="E91">
        <v>15</v>
      </c>
    </row>
    <row r="92" spans="1:5" x14ac:dyDescent="0.25">
      <c r="A92" s="5" t="s">
        <v>20</v>
      </c>
      <c r="B92">
        <v>70</v>
      </c>
      <c r="D92" s="4" t="s">
        <v>14</v>
      </c>
      <c r="E92">
        <v>133</v>
      </c>
    </row>
    <row r="93" spans="1:5" x14ac:dyDescent="0.25">
      <c r="A93" s="5" t="s">
        <v>20</v>
      </c>
      <c r="B93">
        <v>135</v>
      </c>
      <c r="D93" s="4" t="s">
        <v>14</v>
      </c>
      <c r="E93">
        <v>2062</v>
      </c>
    </row>
    <row r="94" spans="1:5" x14ac:dyDescent="0.25">
      <c r="A94" s="5" t="s">
        <v>20</v>
      </c>
      <c r="B94">
        <v>768</v>
      </c>
      <c r="D94" s="4" t="s">
        <v>14</v>
      </c>
      <c r="E94">
        <v>29</v>
      </c>
    </row>
    <row r="95" spans="1:5" x14ac:dyDescent="0.25">
      <c r="A95" s="5" t="s">
        <v>20</v>
      </c>
      <c r="B95">
        <v>199</v>
      </c>
      <c r="D95" s="4" t="s">
        <v>14</v>
      </c>
      <c r="E95">
        <v>132</v>
      </c>
    </row>
    <row r="96" spans="1:5" x14ac:dyDescent="0.25">
      <c r="A96" s="5" t="s">
        <v>20</v>
      </c>
      <c r="B96">
        <v>107</v>
      </c>
      <c r="D96" s="4" t="s">
        <v>14</v>
      </c>
      <c r="E96">
        <v>137</v>
      </c>
    </row>
    <row r="97" spans="1:5" x14ac:dyDescent="0.25">
      <c r="A97" s="5" t="s">
        <v>20</v>
      </c>
      <c r="B97">
        <v>195</v>
      </c>
      <c r="D97" s="4" t="s">
        <v>14</v>
      </c>
      <c r="E97">
        <v>908</v>
      </c>
    </row>
    <row r="98" spans="1:5" x14ac:dyDescent="0.25">
      <c r="A98" s="5" t="s">
        <v>20</v>
      </c>
      <c r="B98">
        <v>3376</v>
      </c>
      <c r="D98" s="4" t="s">
        <v>14</v>
      </c>
      <c r="E98">
        <v>10</v>
      </c>
    </row>
    <row r="99" spans="1:5" x14ac:dyDescent="0.25">
      <c r="A99" s="5" t="s">
        <v>20</v>
      </c>
      <c r="B99">
        <v>41</v>
      </c>
      <c r="D99" s="4" t="s">
        <v>14</v>
      </c>
      <c r="E99">
        <v>1910</v>
      </c>
    </row>
    <row r="100" spans="1:5" x14ac:dyDescent="0.25">
      <c r="A100" s="5" t="s">
        <v>20</v>
      </c>
      <c r="B100">
        <v>1821</v>
      </c>
      <c r="D100" s="4" t="s">
        <v>14</v>
      </c>
      <c r="E100">
        <v>38</v>
      </c>
    </row>
    <row r="101" spans="1:5" x14ac:dyDescent="0.25">
      <c r="A101" s="5" t="s">
        <v>20</v>
      </c>
      <c r="B101">
        <v>164</v>
      </c>
      <c r="D101" s="4" t="s">
        <v>14</v>
      </c>
      <c r="E101">
        <v>104</v>
      </c>
    </row>
    <row r="102" spans="1:5" x14ac:dyDescent="0.25">
      <c r="A102" s="5" t="s">
        <v>20</v>
      </c>
      <c r="B102">
        <v>157</v>
      </c>
      <c r="D102" s="4" t="s">
        <v>14</v>
      </c>
      <c r="E102">
        <v>49</v>
      </c>
    </row>
    <row r="103" spans="1:5" x14ac:dyDescent="0.25">
      <c r="A103" s="5" t="s">
        <v>20</v>
      </c>
      <c r="B103">
        <v>246</v>
      </c>
      <c r="D103" s="4" t="s">
        <v>14</v>
      </c>
      <c r="E103">
        <v>1</v>
      </c>
    </row>
    <row r="104" spans="1:5" x14ac:dyDescent="0.25">
      <c r="A104" s="5" t="s">
        <v>20</v>
      </c>
      <c r="B104">
        <v>1396</v>
      </c>
      <c r="D104" s="4" t="s">
        <v>14</v>
      </c>
      <c r="E104">
        <v>245</v>
      </c>
    </row>
    <row r="105" spans="1:5" x14ac:dyDescent="0.25">
      <c r="A105" s="5" t="s">
        <v>20</v>
      </c>
      <c r="B105">
        <v>2506</v>
      </c>
      <c r="D105" s="4" t="s">
        <v>14</v>
      </c>
      <c r="E105">
        <v>32</v>
      </c>
    </row>
    <row r="106" spans="1:5" x14ac:dyDescent="0.25">
      <c r="A106" s="5" t="s">
        <v>20</v>
      </c>
      <c r="B106">
        <v>244</v>
      </c>
      <c r="D106" s="4" t="s">
        <v>14</v>
      </c>
      <c r="E106">
        <v>7</v>
      </c>
    </row>
    <row r="107" spans="1:5" x14ac:dyDescent="0.25">
      <c r="A107" s="5" t="s">
        <v>20</v>
      </c>
      <c r="B107">
        <v>146</v>
      </c>
      <c r="D107" s="4" t="s">
        <v>14</v>
      </c>
      <c r="E107">
        <v>803</v>
      </c>
    </row>
    <row r="108" spans="1:5" x14ac:dyDescent="0.25">
      <c r="A108" s="5" t="s">
        <v>20</v>
      </c>
      <c r="B108">
        <v>1267</v>
      </c>
      <c r="D108" s="4" t="s">
        <v>14</v>
      </c>
      <c r="E108">
        <v>16</v>
      </c>
    </row>
    <row r="109" spans="1:5" x14ac:dyDescent="0.25">
      <c r="A109" s="5" t="s">
        <v>20</v>
      </c>
      <c r="B109">
        <v>1561</v>
      </c>
      <c r="D109" s="4" t="s">
        <v>14</v>
      </c>
      <c r="E109">
        <v>31</v>
      </c>
    </row>
    <row r="110" spans="1:5" x14ac:dyDescent="0.25">
      <c r="A110" s="5" t="s">
        <v>20</v>
      </c>
      <c r="B110">
        <v>48</v>
      </c>
      <c r="D110" s="4" t="s">
        <v>14</v>
      </c>
      <c r="E110">
        <v>108</v>
      </c>
    </row>
    <row r="111" spans="1:5" x14ac:dyDescent="0.25">
      <c r="A111" s="5" t="s">
        <v>20</v>
      </c>
      <c r="B111">
        <v>2739</v>
      </c>
      <c r="D111" s="4" t="s">
        <v>14</v>
      </c>
      <c r="E111">
        <v>30</v>
      </c>
    </row>
    <row r="112" spans="1:5" x14ac:dyDescent="0.25">
      <c r="A112" s="5" t="s">
        <v>20</v>
      </c>
      <c r="B112">
        <v>3537</v>
      </c>
      <c r="D112" s="4" t="s">
        <v>14</v>
      </c>
      <c r="E112">
        <v>17</v>
      </c>
    </row>
    <row r="113" spans="1:5" x14ac:dyDescent="0.25">
      <c r="A113" s="5" t="s">
        <v>20</v>
      </c>
      <c r="B113">
        <v>2107</v>
      </c>
      <c r="D113" s="4" t="s">
        <v>14</v>
      </c>
      <c r="E113">
        <v>80</v>
      </c>
    </row>
    <row r="114" spans="1:5" x14ac:dyDescent="0.25">
      <c r="A114" s="5" t="s">
        <v>20</v>
      </c>
      <c r="B114">
        <v>3318</v>
      </c>
      <c r="D114" s="4" t="s">
        <v>14</v>
      </c>
      <c r="E114">
        <v>2468</v>
      </c>
    </row>
    <row r="115" spans="1:5" x14ac:dyDescent="0.25">
      <c r="A115" s="5" t="s">
        <v>20</v>
      </c>
      <c r="B115">
        <v>340</v>
      </c>
      <c r="D115" s="4" t="s">
        <v>14</v>
      </c>
      <c r="E115">
        <v>26</v>
      </c>
    </row>
    <row r="116" spans="1:5" x14ac:dyDescent="0.25">
      <c r="A116" s="5" t="s">
        <v>20</v>
      </c>
      <c r="B116">
        <v>1442</v>
      </c>
      <c r="D116" s="4" t="s">
        <v>14</v>
      </c>
      <c r="E116">
        <v>73</v>
      </c>
    </row>
    <row r="117" spans="1:5" x14ac:dyDescent="0.25">
      <c r="A117" s="5" t="s">
        <v>20</v>
      </c>
      <c r="B117">
        <v>126</v>
      </c>
      <c r="D117" s="4" t="s">
        <v>14</v>
      </c>
      <c r="E117">
        <v>128</v>
      </c>
    </row>
    <row r="118" spans="1:5" x14ac:dyDescent="0.25">
      <c r="A118" s="5" t="s">
        <v>20</v>
      </c>
      <c r="B118">
        <v>524</v>
      </c>
      <c r="D118" s="4" t="s">
        <v>14</v>
      </c>
      <c r="E118">
        <v>33</v>
      </c>
    </row>
    <row r="119" spans="1:5" x14ac:dyDescent="0.25">
      <c r="A119" s="5" t="s">
        <v>20</v>
      </c>
      <c r="B119">
        <v>1989</v>
      </c>
      <c r="D119" s="4" t="s">
        <v>14</v>
      </c>
      <c r="E119">
        <v>1072</v>
      </c>
    </row>
    <row r="120" spans="1:5" x14ac:dyDescent="0.25">
      <c r="A120" s="5" t="s">
        <v>20</v>
      </c>
      <c r="B120">
        <v>157</v>
      </c>
      <c r="D120" s="4" t="s">
        <v>14</v>
      </c>
      <c r="E120">
        <v>393</v>
      </c>
    </row>
    <row r="121" spans="1:5" x14ac:dyDescent="0.25">
      <c r="A121" s="5" t="s">
        <v>20</v>
      </c>
      <c r="B121">
        <v>4498</v>
      </c>
      <c r="D121" s="4" t="s">
        <v>14</v>
      </c>
      <c r="E121">
        <v>1257</v>
      </c>
    </row>
    <row r="122" spans="1:5" x14ac:dyDescent="0.25">
      <c r="A122" s="5" t="s">
        <v>20</v>
      </c>
      <c r="B122">
        <v>80</v>
      </c>
      <c r="D122" s="4" t="s">
        <v>14</v>
      </c>
      <c r="E122">
        <v>328</v>
      </c>
    </row>
    <row r="123" spans="1:5" x14ac:dyDescent="0.25">
      <c r="A123" s="5" t="s">
        <v>20</v>
      </c>
      <c r="B123">
        <v>43</v>
      </c>
      <c r="D123" s="4" t="s">
        <v>14</v>
      </c>
      <c r="E123">
        <v>147</v>
      </c>
    </row>
    <row r="124" spans="1:5" x14ac:dyDescent="0.25">
      <c r="A124" s="5" t="s">
        <v>20</v>
      </c>
      <c r="B124">
        <v>2053</v>
      </c>
      <c r="D124" s="4" t="s">
        <v>14</v>
      </c>
      <c r="E124">
        <v>830</v>
      </c>
    </row>
    <row r="125" spans="1:5" x14ac:dyDescent="0.25">
      <c r="A125" s="5" t="s">
        <v>20</v>
      </c>
      <c r="B125">
        <v>168</v>
      </c>
      <c r="D125" s="4" t="s">
        <v>14</v>
      </c>
      <c r="E125">
        <v>331</v>
      </c>
    </row>
    <row r="126" spans="1:5" x14ac:dyDescent="0.25">
      <c r="A126" s="5" t="s">
        <v>20</v>
      </c>
      <c r="B126">
        <v>4289</v>
      </c>
      <c r="D126" s="4" t="s">
        <v>14</v>
      </c>
      <c r="E126">
        <v>25</v>
      </c>
    </row>
    <row r="127" spans="1:5" x14ac:dyDescent="0.25">
      <c r="A127" s="5" t="s">
        <v>20</v>
      </c>
      <c r="B127">
        <v>165</v>
      </c>
      <c r="D127" s="4" t="s">
        <v>14</v>
      </c>
      <c r="E127">
        <v>3483</v>
      </c>
    </row>
    <row r="128" spans="1:5" x14ac:dyDescent="0.25">
      <c r="A128" s="5" t="s">
        <v>20</v>
      </c>
      <c r="B128">
        <v>1815</v>
      </c>
      <c r="D128" s="4" t="s">
        <v>14</v>
      </c>
      <c r="E128">
        <v>923</v>
      </c>
    </row>
    <row r="129" spans="1:5" x14ac:dyDescent="0.25">
      <c r="A129" s="5" t="s">
        <v>20</v>
      </c>
      <c r="B129">
        <v>397</v>
      </c>
      <c r="D129" s="4" t="s">
        <v>14</v>
      </c>
      <c r="E129">
        <v>1</v>
      </c>
    </row>
    <row r="130" spans="1:5" x14ac:dyDescent="0.25">
      <c r="A130" s="5" t="s">
        <v>20</v>
      </c>
      <c r="B130">
        <v>1539</v>
      </c>
      <c r="D130" s="4" t="s">
        <v>14</v>
      </c>
      <c r="E130">
        <v>33</v>
      </c>
    </row>
    <row r="131" spans="1:5" x14ac:dyDescent="0.25">
      <c r="A131" s="5" t="s">
        <v>20</v>
      </c>
      <c r="B131">
        <v>138</v>
      </c>
      <c r="D131" s="4" t="s">
        <v>14</v>
      </c>
      <c r="E131">
        <v>40</v>
      </c>
    </row>
    <row r="132" spans="1:5" x14ac:dyDescent="0.25">
      <c r="A132" s="5" t="s">
        <v>20</v>
      </c>
      <c r="B132">
        <v>3594</v>
      </c>
      <c r="D132" s="4" t="s">
        <v>14</v>
      </c>
      <c r="E132">
        <v>23</v>
      </c>
    </row>
    <row r="133" spans="1:5" x14ac:dyDescent="0.25">
      <c r="A133" s="5" t="s">
        <v>20</v>
      </c>
      <c r="B133">
        <v>5880</v>
      </c>
      <c r="D133" s="4" t="s">
        <v>14</v>
      </c>
      <c r="E133">
        <v>75</v>
      </c>
    </row>
    <row r="134" spans="1:5" x14ac:dyDescent="0.25">
      <c r="A134" s="5" t="s">
        <v>20</v>
      </c>
      <c r="B134">
        <v>112</v>
      </c>
      <c r="D134" s="4" t="s">
        <v>14</v>
      </c>
      <c r="E134">
        <v>2176</v>
      </c>
    </row>
    <row r="135" spans="1:5" x14ac:dyDescent="0.25">
      <c r="A135" s="5" t="s">
        <v>20</v>
      </c>
      <c r="B135">
        <v>943</v>
      </c>
      <c r="D135" s="4" t="s">
        <v>14</v>
      </c>
      <c r="E135">
        <v>441</v>
      </c>
    </row>
    <row r="136" spans="1:5" x14ac:dyDescent="0.25">
      <c r="A136" s="5" t="s">
        <v>20</v>
      </c>
      <c r="B136">
        <v>2468</v>
      </c>
      <c r="D136" s="4" t="s">
        <v>14</v>
      </c>
      <c r="E136">
        <v>25</v>
      </c>
    </row>
    <row r="137" spans="1:5" x14ac:dyDescent="0.25">
      <c r="A137" s="5" t="s">
        <v>20</v>
      </c>
      <c r="B137">
        <v>2551</v>
      </c>
      <c r="D137" s="4" t="s">
        <v>14</v>
      </c>
      <c r="E137">
        <v>127</v>
      </c>
    </row>
    <row r="138" spans="1:5" x14ac:dyDescent="0.25">
      <c r="A138" s="5" t="s">
        <v>20</v>
      </c>
      <c r="B138">
        <v>101</v>
      </c>
      <c r="D138" s="4" t="s">
        <v>14</v>
      </c>
      <c r="E138">
        <v>355</v>
      </c>
    </row>
    <row r="139" spans="1:5" x14ac:dyDescent="0.25">
      <c r="A139" s="5" t="s">
        <v>20</v>
      </c>
      <c r="B139">
        <v>92</v>
      </c>
      <c r="D139" s="4" t="s">
        <v>14</v>
      </c>
      <c r="E139">
        <v>44</v>
      </c>
    </row>
    <row r="140" spans="1:5" x14ac:dyDescent="0.25">
      <c r="A140" s="5" t="s">
        <v>20</v>
      </c>
      <c r="B140">
        <v>62</v>
      </c>
      <c r="D140" s="4" t="s">
        <v>14</v>
      </c>
      <c r="E140">
        <v>67</v>
      </c>
    </row>
    <row r="141" spans="1:5" x14ac:dyDescent="0.25">
      <c r="A141" s="5" t="s">
        <v>20</v>
      </c>
      <c r="B141">
        <v>149</v>
      </c>
      <c r="D141" s="4" t="s">
        <v>14</v>
      </c>
      <c r="E141">
        <v>1068</v>
      </c>
    </row>
    <row r="142" spans="1:5" x14ac:dyDescent="0.25">
      <c r="A142" s="5" t="s">
        <v>20</v>
      </c>
      <c r="B142">
        <v>329</v>
      </c>
      <c r="D142" s="4" t="s">
        <v>14</v>
      </c>
      <c r="E142">
        <v>424</v>
      </c>
    </row>
    <row r="143" spans="1:5" x14ac:dyDescent="0.25">
      <c r="A143" s="5" t="s">
        <v>20</v>
      </c>
      <c r="B143">
        <v>97</v>
      </c>
      <c r="D143" s="4" t="s">
        <v>14</v>
      </c>
      <c r="E143">
        <v>151</v>
      </c>
    </row>
    <row r="144" spans="1:5" x14ac:dyDescent="0.25">
      <c r="A144" s="5" t="s">
        <v>20</v>
      </c>
      <c r="B144">
        <v>1784</v>
      </c>
      <c r="D144" s="4" t="s">
        <v>14</v>
      </c>
      <c r="E144">
        <v>1608</v>
      </c>
    </row>
    <row r="145" spans="1:5" x14ac:dyDescent="0.25">
      <c r="A145" s="5" t="s">
        <v>20</v>
      </c>
      <c r="B145">
        <v>1684</v>
      </c>
      <c r="D145" s="4" t="s">
        <v>14</v>
      </c>
      <c r="E145">
        <v>941</v>
      </c>
    </row>
    <row r="146" spans="1:5" x14ac:dyDescent="0.25">
      <c r="A146" s="5" t="s">
        <v>20</v>
      </c>
      <c r="B146">
        <v>250</v>
      </c>
      <c r="D146" s="4" t="s">
        <v>14</v>
      </c>
      <c r="E146">
        <v>1</v>
      </c>
    </row>
    <row r="147" spans="1:5" x14ac:dyDescent="0.25">
      <c r="A147" s="5" t="s">
        <v>20</v>
      </c>
      <c r="B147">
        <v>238</v>
      </c>
      <c r="D147" s="4" t="s">
        <v>14</v>
      </c>
      <c r="E147">
        <v>40</v>
      </c>
    </row>
    <row r="148" spans="1:5" x14ac:dyDescent="0.25">
      <c r="A148" s="5" t="s">
        <v>20</v>
      </c>
      <c r="B148">
        <v>53</v>
      </c>
      <c r="D148" s="4" t="s">
        <v>14</v>
      </c>
      <c r="E148">
        <v>3015</v>
      </c>
    </row>
    <row r="149" spans="1:5" x14ac:dyDescent="0.25">
      <c r="A149" s="5" t="s">
        <v>20</v>
      </c>
      <c r="B149">
        <v>214</v>
      </c>
      <c r="D149" s="4" t="s">
        <v>14</v>
      </c>
      <c r="E149">
        <v>435</v>
      </c>
    </row>
    <row r="150" spans="1:5" x14ac:dyDescent="0.25">
      <c r="A150" s="5" t="s">
        <v>20</v>
      </c>
      <c r="B150">
        <v>222</v>
      </c>
      <c r="D150" s="4" t="s">
        <v>14</v>
      </c>
      <c r="E150">
        <v>714</v>
      </c>
    </row>
    <row r="151" spans="1:5" x14ac:dyDescent="0.25">
      <c r="A151" s="5" t="s">
        <v>20</v>
      </c>
      <c r="B151">
        <v>1884</v>
      </c>
      <c r="D151" s="4" t="s">
        <v>14</v>
      </c>
      <c r="E151">
        <v>5497</v>
      </c>
    </row>
    <row r="152" spans="1:5" x14ac:dyDescent="0.25">
      <c r="A152" s="5" t="s">
        <v>20</v>
      </c>
      <c r="B152">
        <v>218</v>
      </c>
      <c r="D152" s="4" t="s">
        <v>14</v>
      </c>
      <c r="E152">
        <v>418</v>
      </c>
    </row>
    <row r="153" spans="1:5" x14ac:dyDescent="0.25">
      <c r="A153" s="5" t="s">
        <v>20</v>
      </c>
      <c r="B153">
        <v>6465</v>
      </c>
      <c r="D153" s="4" t="s">
        <v>14</v>
      </c>
      <c r="E153">
        <v>1439</v>
      </c>
    </row>
    <row r="154" spans="1:5" x14ac:dyDescent="0.25">
      <c r="A154" s="5" t="s">
        <v>20</v>
      </c>
      <c r="B154">
        <v>59</v>
      </c>
      <c r="D154" s="4" t="s">
        <v>14</v>
      </c>
      <c r="E154">
        <v>15</v>
      </c>
    </row>
    <row r="155" spans="1:5" x14ac:dyDescent="0.25">
      <c r="A155" s="5" t="s">
        <v>20</v>
      </c>
      <c r="B155">
        <v>88</v>
      </c>
      <c r="D155" s="4" t="s">
        <v>14</v>
      </c>
      <c r="E155">
        <v>1999</v>
      </c>
    </row>
    <row r="156" spans="1:5" x14ac:dyDescent="0.25">
      <c r="A156" s="5" t="s">
        <v>20</v>
      </c>
      <c r="B156">
        <v>1697</v>
      </c>
      <c r="D156" s="4" t="s">
        <v>14</v>
      </c>
      <c r="E156">
        <v>118</v>
      </c>
    </row>
    <row r="157" spans="1:5" x14ac:dyDescent="0.25">
      <c r="A157" s="5" t="s">
        <v>20</v>
      </c>
      <c r="B157">
        <v>92</v>
      </c>
      <c r="D157" s="4" t="s">
        <v>14</v>
      </c>
      <c r="E157">
        <v>162</v>
      </c>
    </row>
    <row r="158" spans="1:5" x14ac:dyDescent="0.25">
      <c r="A158" s="5" t="s">
        <v>20</v>
      </c>
      <c r="B158">
        <v>186</v>
      </c>
      <c r="D158" s="4" t="s">
        <v>14</v>
      </c>
      <c r="E158">
        <v>83</v>
      </c>
    </row>
    <row r="159" spans="1:5" x14ac:dyDescent="0.25">
      <c r="A159" s="5" t="s">
        <v>20</v>
      </c>
      <c r="B159">
        <v>138</v>
      </c>
      <c r="D159" s="4" t="s">
        <v>14</v>
      </c>
      <c r="E159">
        <v>747</v>
      </c>
    </row>
    <row r="160" spans="1:5" x14ac:dyDescent="0.25">
      <c r="A160" s="5" t="s">
        <v>20</v>
      </c>
      <c r="B160">
        <v>261</v>
      </c>
      <c r="D160" s="4" t="s">
        <v>14</v>
      </c>
      <c r="E160">
        <v>84</v>
      </c>
    </row>
    <row r="161" spans="1:5" x14ac:dyDescent="0.25">
      <c r="A161" s="5" t="s">
        <v>20</v>
      </c>
      <c r="B161">
        <v>107</v>
      </c>
      <c r="D161" s="4" t="s">
        <v>14</v>
      </c>
      <c r="E161">
        <v>91</v>
      </c>
    </row>
    <row r="162" spans="1:5" x14ac:dyDescent="0.25">
      <c r="A162" s="5" t="s">
        <v>20</v>
      </c>
      <c r="B162">
        <v>199</v>
      </c>
      <c r="D162" s="4" t="s">
        <v>14</v>
      </c>
      <c r="E162">
        <v>792</v>
      </c>
    </row>
    <row r="163" spans="1:5" x14ac:dyDescent="0.25">
      <c r="A163" s="5" t="s">
        <v>20</v>
      </c>
      <c r="B163">
        <v>5512</v>
      </c>
      <c r="D163" s="4" t="s">
        <v>14</v>
      </c>
      <c r="E163">
        <v>32</v>
      </c>
    </row>
    <row r="164" spans="1:5" x14ac:dyDescent="0.25">
      <c r="A164" s="5" t="s">
        <v>20</v>
      </c>
      <c r="B164">
        <v>86</v>
      </c>
      <c r="D164" s="4" t="s">
        <v>14</v>
      </c>
      <c r="E164">
        <v>186</v>
      </c>
    </row>
    <row r="165" spans="1:5" x14ac:dyDescent="0.25">
      <c r="A165" s="5" t="s">
        <v>20</v>
      </c>
      <c r="B165">
        <v>2768</v>
      </c>
      <c r="D165" s="4" t="s">
        <v>14</v>
      </c>
      <c r="E165">
        <v>605</v>
      </c>
    </row>
    <row r="166" spans="1:5" x14ac:dyDescent="0.25">
      <c r="A166" s="5" t="s">
        <v>20</v>
      </c>
      <c r="B166">
        <v>48</v>
      </c>
      <c r="D166" s="4" t="s">
        <v>14</v>
      </c>
      <c r="E166">
        <v>1</v>
      </c>
    </row>
    <row r="167" spans="1:5" x14ac:dyDescent="0.25">
      <c r="A167" s="5" t="s">
        <v>20</v>
      </c>
      <c r="B167">
        <v>87</v>
      </c>
      <c r="D167" s="4" t="s">
        <v>14</v>
      </c>
      <c r="E167">
        <v>31</v>
      </c>
    </row>
    <row r="168" spans="1:5" x14ac:dyDescent="0.25">
      <c r="A168" s="5" t="s">
        <v>20</v>
      </c>
      <c r="B168">
        <v>1894</v>
      </c>
      <c r="D168" s="4" t="s">
        <v>14</v>
      </c>
      <c r="E168">
        <v>1181</v>
      </c>
    </row>
    <row r="169" spans="1:5" x14ac:dyDescent="0.25">
      <c r="A169" s="5" t="s">
        <v>20</v>
      </c>
      <c r="B169">
        <v>282</v>
      </c>
      <c r="D169" s="4" t="s">
        <v>14</v>
      </c>
      <c r="E169">
        <v>39</v>
      </c>
    </row>
    <row r="170" spans="1:5" x14ac:dyDescent="0.25">
      <c r="A170" s="5" t="s">
        <v>20</v>
      </c>
      <c r="B170">
        <v>116</v>
      </c>
      <c r="D170" s="4" t="s">
        <v>14</v>
      </c>
      <c r="E170">
        <v>46</v>
      </c>
    </row>
    <row r="171" spans="1:5" x14ac:dyDescent="0.25">
      <c r="A171" s="5" t="s">
        <v>20</v>
      </c>
      <c r="B171">
        <v>83</v>
      </c>
      <c r="D171" s="4" t="s">
        <v>14</v>
      </c>
      <c r="E171">
        <v>105</v>
      </c>
    </row>
    <row r="172" spans="1:5" x14ac:dyDescent="0.25">
      <c r="A172" s="5" t="s">
        <v>20</v>
      </c>
      <c r="B172">
        <v>91</v>
      </c>
      <c r="D172" s="4" t="s">
        <v>14</v>
      </c>
      <c r="E172">
        <v>535</v>
      </c>
    </row>
    <row r="173" spans="1:5" x14ac:dyDescent="0.25">
      <c r="A173" s="5" t="s">
        <v>20</v>
      </c>
      <c r="B173">
        <v>546</v>
      </c>
      <c r="D173" s="4" t="s">
        <v>14</v>
      </c>
      <c r="E173">
        <v>16</v>
      </c>
    </row>
    <row r="174" spans="1:5" x14ac:dyDescent="0.25">
      <c r="A174" s="5" t="s">
        <v>20</v>
      </c>
      <c r="B174">
        <v>393</v>
      </c>
      <c r="D174" s="4" t="s">
        <v>14</v>
      </c>
      <c r="E174">
        <v>575</v>
      </c>
    </row>
    <row r="175" spans="1:5" x14ac:dyDescent="0.25">
      <c r="A175" s="5" t="s">
        <v>20</v>
      </c>
      <c r="B175">
        <v>133</v>
      </c>
      <c r="D175" s="4" t="s">
        <v>14</v>
      </c>
      <c r="E175">
        <v>1120</v>
      </c>
    </row>
    <row r="176" spans="1:5" x14ac:dyDescent="0.25">
      <c r="A176" s="5" t="s">
        <v>20</v>
      </c>
      <c r="B176">
        <v>254</v>
      </c>
      <c r="D176" s="4" t="s">
        <v>14</v>
      </c>
      <c r="E176">
        <v>113</v>
      </c>
    </row>
    <row r="177" spans="1:5" x14ac:dyDescent="0.25">
      <c r="A177" s="5" t="s">
        <v>20</v>
      </c>
      <c r="B177">
        <v>176</v>
      </c>
      <c r="D177" s="4" t="s">
        <v>14</v>
      </c>
      <c r="E177">
        <v>1538</v>
      </c>
    </row>
    <row r="178" spans="1:5" x14ac:dyDescent="0.25">
      <c r="A178" s="5" t="s">
        <v>20</v>
      </c>
      <c r="B178">
        <v>337</v>
      </c>
      <c r="D178" s="4" t="s">
        <v>14</v>
      </c>
      <c r="E178">
        <v>9</v>
      </c>
    </row>
    <row r="179" spans="1:5" x14ac:dyDescent="0.25">
      <c r="A179" s="5" t="s">
        <v>20</v>
      </c>
      <c r="B179">
        <v>107</v>
      </c>
      <c r="D179" s="4" t="s">
        <v>14</v>
      </c>
      <c r="E179">
        <v>554</v>
      </c>
    </row>
    <row r="180" spans="1:5" x14ac:dyDescent="0.25">
      <c r="A180" s="5" t="s">
        <v>20</v>
      </c>
      <c r="B180">
        <v>183</v>
      </c>
      <c r="D180" s="4" t="s">
        <v>14</v>
      </c>
      <c r="E180">
        <v>648</v>
      </c>
    </row>
    <row r="181" spans="1:5" x14ac:dyDescent="0.25">
      <c r="A181" s="5" t="s">
        <v>20</v>
      </c>
      <c r="B181">
        <v>72</v>
      </c>
      <c r="D181" s="4" t="s">
        <v>14</v>
      </c>
      <c r="E181">
        <v>21</v>
      </c>
    </row>
    <row r="182" spans="1:5" x14ac:dyDescent="0.25">
      <c r="A182" s="5" t="s">
        <v>20</v>
      </c>
      <c r="B182">
        <v>295</v>
      </c>
      <c r="D182" s="4" t="s">
        <v>14</v>
      </c>
      <c r="E182">
        <v>54</v>
      </c>
    </row>
    <row r="183" spans="1:5" x14ac:dyDescent="0.25">
      <c r="A183" s="5" t="s">
        <v>20</v>
      </c>
      <c r="B183">
        <v>142</v>
      </c>
      <c r="D183" s="4" t="s">
        <v>14</v>
      </c>
      <c r="E183">
        <v>120</v>
      </c>
    </row>
    <row r="184" spans="1:5" x14ac:dyDescent="0.25">
      <c r="A184" s="5" t="s">
        <v>20</v>
      </c>
      <c r="B184">
        <v>85</v>
      </c>
      <c r="D184" s="4" t="s">
        <v>14</v>
      </c>
      <c r="E184">
        <v>579</v>
      </c>
    </row>
    <row r="185" spans="1:5" x14ac:dyDescent="0.25">
      <c r="A185" s="5" t="s">
        <v>20</v>
      </c>
      <c r="B185">
        <v>659</v>
      </c>
      <c r="D185" s="4" t="s">
        <v>14</v>
      </c>
      <c r="E185">
        <v>2072</v>
      </c>
    </row>
    <row r="186" spans="1:5" x14ac:dyDescent="0.25">
      <c r="A186" s="5" t="s">
        <v>20</v>
      </c>
      <c r="B186">
        <v>121</v>
      </c>
      <c r="D186" s="4" t="s">
        <v>14</v>
      </c>
      <c r="E186">
        <v>0</v>
      </c>
    </row>
    <row r="187" spans="1:5" x14ac:dyDescent="0.25">
      <c r="A187" s="5" t="s">
        <v>20</v>
      </c>
      <c r="B187">
        <v>3742</v>
      </c>
      <c r="D187" s="4" t="s">
        <v>14</v>
      </c>
      <c r="E187">
        <v>1796</v>
      </c>
    </row>
    <row r="188" spans="1:5" x14ac:dyDescent="0.25">
      <c r="A188" s="5" t="s">
        <v>20</v>
      </c>
      <c r="B188">
        <v>223</v>
      </c>
      <c r="D188" s="4" t="s">
        <v>14</v>
      </c>
      <c r="E188">
        <v>62</v>
      </c>
    </row>
    <row r="189" spans="1:5" x14ac:dyDescent="0.25">
      <c r="A189" s="5" t="s">
        <v>20</v>
      </c>
      <c r="B189">
        <v>133</v>
      </c>
      <c r="D189" s="4" t="s">
        <v>14</v>
      </c>
      <c r="E189">
        <v>347</v>
      </c>
    </row>
    <row r="190" spans="1:5" x14ac:dyDescent="0.25">
      <c r="A190" s="5" t="s">
        <v>20</v>
      </c>
      <c r="B190">
        <v>5168</v>
      </c>
      <c r="D190" s="4" t="s">
        <v>14</v>
      </c>
      <c r="E190">
        <v>19</v>
      </c>
    </row>
    <row r="191" spans="1:5" x14ac:dyDescent="0.25">
      <c r="A191" s="5" t="s">
        <v>20</v>
      </c>
      <c r="B191">
        <v>307</v>
      </c>
      <c r="D191" s="4" t="s">
        <v>14</v>
      </c>
      <c r="E191">
        <v>1258</v>
      </c>
    </row>
    <row r="192" spans="1:5" x14ac:dyDescent="0.25">
      <c r="A192" s="5" t="s">
        <v>20</v>
      </c>
      <c r="B192">
        <v>2441</v>
      </c>
      <c r="D192" s="4" t="s">
        <v>14</v>
      </c>
      <c r="E192">
        <v>362</v>
      </c>
    </row>
    <row r="193" spans="1:5" x14ac:dyDescent="0.25">
      <c r="A193" s="5" t="s">
        <v>20</v>
      </c>
      <c r="B193">
        <v>1385</v>
      </c>
      <c r="D193" s="4" t="s">
        <v>14</v>
      </c>
      <c r="E193">
        <v>133</v>
      </c>
    </row>
    <row r="194" spans="1:5" x14ac:dyDescent="0.25">
      <c r="A194" s="5" t="s">
        <v>20</v>
      </c>
      <c r="B194">
        <v>190</v>
      </c>
      <c r="D194" s="4" t="s">
        <v>14</v>
      </c>
      <c r="E194">
        <v>846</v>
      </c>
    </row>
    <row r="195" spans="1:5" x14ac:dyDescent="0.25">
      <c r="A195" s="5" t="s">
        <v>20</v>
      </c>
      <c r="B195">
        <v>470</v>
      </c>
      <c r="D195" s="4" t="s">
        <v>14</v>
      </c>
      <c r="E195">
        <v>10</v>
      </c>
    </row>
    <row r="196" spans="1:5" x14ac:dyDescent="0.25">
      <c r="A196" s="5" t="s">
        <v>20</v>
      </c>
      <c r="B196">
        <v>253</v>
      </c>
      <c r="D196" s="4" t="s">
        <v>14</v>
      </c>
      <c r="E196">
        <v>191</v>
      </c>
    </row>
    <row r="197" spans="1:5" x14ac:dyDescent="0.25">
      <c r="A197" s="5" t="s">
        <v>20</v>
      </c>
      <c r="B197">
        <v>1113</v>
      </c>
      <c r="D197" s="4" t="s">
        <v>14</v>
      </c>
      <c r="E197">
        <v>1979</v>
      </c>
    </row>
    <row r="198" spans="1:5" x14ac:dyDescent="0.25">
      <c r="A198" s="5" t="s">
        <v>20</v>
      </c>
      <c r="B198">
        <v>2283</v>
      </c>
      <c r="D198" s="4" t="s">
        <v>14</v>
      </c>
      <c r="E198">
        <v>63</v>
      </c>
    </row>
    <row r="199" spans="1:5" x14ac:dyDescent="0.25">
      <c r="A199" s="5" t="s">
        <v>20</v>
      </c>
      <c r="B199">
        <v>1095</v>
      </c>
      <c r="D199" s="4" t="s">
        <v>14</v>
      </c>
      <c r="E199">
        <v>6080</v>
      </c>
    </row>
    <row r="200" spans="1:5" x14ac:dyDescent="0.25">
      <c r="A200" s="5" t="s">
        <v>20</v>
      </c>
      <c r="B200">
        <v>1690</v>
      </c>
      <c r="D200" s="4" t="s">
        <v>14</v>
      </c>
      <c r="E200">
        <v>80</v>
      </c>
    </row>
    <row r="201" spans="1:5" x14ac:dyDescent="0.25">
      <c r="A201" s="5" t="s">
        <v>20</v>
      </c>
      <c r="B201">
        <v>191</v>
      </c>
      <c r="D201" s="4" t="s">
        <v>14</v>
      </c>
      <c r="E201">
        <v>9</v>
      </c>
    </row>
    <row r="202" spans="1:5" x14ac:dyDescent="0.25">
      <c r="A202" s="5" t="s">
        <v>20</v>
      </c>
      <c r="B202">
        <v>2013</v>
      </c>
      <c r="D202" s="4" t="s">
        <v>14</v>
      </c>
      <c r="E202">
        <v>1784</v>
      </c>
    </row>
    <row r="203" spans="1:5" x14ac:dyDescent="0.25">
      <c r="A203" s="5" t="s">
        <v>20</v>
      </c>
      <c r="B203">
        <v>1703</v>
      </c>
      <c r="D203" s="4" t="s">
        <v>14</v>
      </c>
      <c r="E203">
        <v>243</v>
      </c>
    </row>
    <row r="204" spans="1:5" x14ac:dyDescent="0.25">
      <c r="A204" s="5" t="s">
        <v>20</v>
      </c>
      <c r="B204">
        <v>80</v>
      </c>
      <c r="D204" s="4" t="s">
        <v>14</v>
      </c>
      <c r="E204">
        <v>1296</v>
      </c>
    </row>
    <row r="205" spans="1:5" x14ac:dyDescent="0.25">
      <c r="A205" s="5" t="s">
        <v>20</v>
      </c>
      <c r="B205">
        <v>41</v>
      </c>
      <c r="D205" s="4" t="s">
        <v>14</v>
      </c>
      <c r="E205">
        <v>77</v>
      </c>
    </row>
    <row r="206" spans="1:5" x14ac:dyDescent="0.25">
      <c r="A206" s="5" t="s">
        <v>20</v>
      </c>
      <c r="B206">
        <v>187</v>
      </c>
      <c r="D206" s="4" t="s">
        <v>14</v>
      </c>
      <c r="E206">
        <v>395</v>
      </c>
    </row>
    <row r="207" spans="1:5" x14ac:dyDescent="0.25">
      <c r="A207" s="5" t="s">
        <v>20</v>
      </c>
      <c r="B207">
        <v>2875</v>
      </c>
      <c r="D207" s="4" t="s">
        <v>14</v>
      </c>
      <c r="E207">
        <v>49</v>
      </c>
    </row>
    <row r="208" spans="1:5" x14ac:dyDescent="0.25">
      <c r="A208" s="5" t="s">
        <v>20</v>
      </c>
      <c r="B208">
        <v>88</v>
      </c>
      <c r="D208" s="4" t="s">
        <v>14</v>
      </c>
      <c r="E208">
        <v>180</v>
      </c>
    </row>
    <row r="209" spans="1:5" x14ac:dyDescent="0.25">
      <c r="A209" s="5" t="s">
        <v>20</v>
      </c>
      <c r="B209">
        <v>191</v>
      </c>
      <c r="D209" s="4" t="s">
        <v>14</v>
      </c>
      <c r="E209">
        <v>2690</v>
      </c>
    </row>
    <row r="210" spans="1:5" x14ac:dyDescent="0.25">
      <c r="A210" s="5" t="s">
        <v>20</v>
      </c>
      <c r="B210">
        <v>139</v>
      </c>
      <c r="D210" s="4" t="s">
        <v>14</v>
      </c>
      <c r="E210">
        <v>2779</v>
      </c>
    </row>
    <row r="211" spans="1:5" x14ac:dyDescent="0.25">
      <c r="A211" s="5" t="s">
        <v>20</v>
      </c>
      <c r="B211">
        <v>186</v>
      </c>
      <c r="D211" s="4" t="s">
        <v>14</v>
      </c>
      <c r="E211">
        <v>92</v>
      </c>
    </row>
    <row r="212" spans="1:5" x14ac:dyDescent="0.25">
      <c r="A212" s="5" t="s">
        <v>20</v>
      </c>
      <c r="B212">
        <v>112</v>
      </c>
      <c r="D212" s="4" t="s">
        <v>14</v>
      </c>
      <c r="E212">
        <v>1028</v>
      </c>
    </row>
    <row r="213" spans="1:5" x14ac:dyDescent="0.25">
      <c r="A213" s="5" t="s">
        <v>20</v>
      </c>
      <c r="B213">
        <v>101</v>
      </c>
      <c r="D213" s="4" t="s">
        <v>14</v>
      </c>
      <c r="E213">
        <v>26</v>
      </c>
    </row>
    <row r="214" spans="1:5" x14ac:dyDescent="0.25">
      <c r="A214" s="5" t="s">
        <v>20</v>
      </c>
      <c r="B214">
        <v>206</v>
      </c>
      <c r="D214" s="4" t="s">
        <v>14</v>
      </c>
      <c r="E214">
        <v>1790</v>
      </c>
    </row>
    <row r="215" spans="1:5" x14ac:dyDescent="0.25">
      <c r="A215" s="5" t="s">
        <v>20</v>
      </c>
      <c r="B215">
        <v>154</v>
      </c>
      <c r="D215" s="4" t="s">
        <v>14</v>
      </c>
      <c r="E215">
        <v>37</v>
      </c>
    </row>
    <row r="216" spans="1:5" x14ac:dyDescent="0.25">
      <c r="A216" s="5" t="s">
        <v>20</v>
      </c>
      <c r="B216">
        <v>5966</v>
      </c>
      <c r="D216" s="4" t="s">
        <v>14</v>
      </c>
      <c r="E216">
        <v>35</v>
      </c>
    </row>
    <row r="217" spans="1:5" x14ac:dyDescent="0.25">
      <c r="A217" s="5" t="s">
        <v>20</v>
      </c>
      <c r="B217">
        <v>169</v>
      </c>
      <c r="D217" s="4" t="s">
        <v>14</v>
      </c>
      <c r="E217">
        <v>558</v>
      </c>
    </row>
    <row r="218" spans="1:5" x14ac:dyDescent="0.25">
      <c r="A218" s="5" t="s">
        <v>20</v>
      </c>
      <c r="B218">
        <v>2106</v>
      </c>
      <c r="D218" s="4" t="s">
        <v>14</v>
      </c>
      <c r="E218">
        <v>64</v>
      </c>
    </row>
    <row r="219" spans="1:5" x14ac:dyDescent="0.25">
      <c r="A219" s="5" t="s">
        <v>20</v>
      </c>
      <c r="B219">
        <v>131</v>
      </c>
      <c r="D219" s="4" t="s">
        <v>14</v>
      </c>
      <c r="E219">
        <v>245</v>
      </c>
    </row>
    <row r="220" spans="1:5" x14ac:dyDescent="0.25">
      <c r="A220" s="5" t="s">
        <v>20</v>
      </c>
      <c r="B220">
        <v>84</v>
      </c>
      <c r="D220" s="4" t="s">
        <v>14</v>
      </c>
      <c r="E220">
        <v>71</v>
      </c>
    </row>
    <row r="221" spans="1:5" x14ac:dyDescent="0.25">
      <c r="A221" s="5" t="s">
        <v>20</v>
      </c>
      <c r="B221">
        <v>155</v>
      </c>
      <c r="D221" s="4" t="s">
        <v>14</v>
      </c>
      <c r="E221">
        <v>42</v>
      </c>
    </row>
    <row r="222" spans="1:5" x14ac:dyDescent="0.25">
      <c r="A222" s="5" t="s">
        <v>20</v>
      </c>
      <c r="B222">
        <v>189</v>
      </c>
      <c r="D222" s="4" t="s">
        <v>14</v>
      </c>
      <c r="E222">
        <v>156</v>
      </c>
    </row>
    <row r="223" spans="1:5" x14ac:dyDescent="0.25">
      <c r="A223" s="5" t="s">
        <v>20</v>
      </c>
      <c r="B223">
        <v>4799</v>
      </c>
      <c r="D223" s="4" t="s">
        <v>14</v>
      </c>
      <c r="E223">
        <v>1368</v>
      </c>
    </row>
    <row r="224" spans="1:5" x14ac:dyDescent="0.25">
      <c r="A224" s="5" t="s">
        <v>20</v>
      </c>
      <c r="B224">
        <v>1137</v>
      </c>
      <c r="D224" s="4" t="s">
        <v>14</v>
      </c>
      <c r="E224">
        <v>102</v>
      </c>
    </row>
    <row r="225" spans="1:5" x14ac:dyDescent="0.25">
      <c r="A225" s="5" t="s">
        <v>20</v>
      </c>
      <c r="B225">
        <v>1152</v>
      </c>
      <c r="D225" s="4" t="s">
        <v>14</v>
      </c>
      <c r="E225">
        <v>86</v>
      </c>
    </row>
    <row r="226" spans="1:5" x14ac:dyDescent="0.25">
      <c r="A226" s="5" t="s">
        <v>20</v>
      </c>
      <c r="B226">
        <v>50</v>
      </c>
      <c r="D226" s="4" t="s">
        <v>14</v>
      </c>
      <c r="E226">
        <v>253</v>
      </c>
    </row>
    <row r="227" spans="1:5" x14ac:dyDescent="0.25">
      <c r="A227" s="5" t="s">
        <v>20</v>
      </c>
      <c r="B227">
        <v>3059</v>
      </c>
      <c r="D227" s="4" t="s">
        <v>14</v>
      </c>
      <c r="E227">
        <v>157</v>
      </c>
    </row>
    <row r="228" spans="1:5" x14ac:dyDescent="0.25">
      <c r="A228" s="5" t="s">
        <v>20</v>
      </c>
      <c r="B228">
        <v>34</v>
      </c>
      <c r="D228" s="4" t="s">
        <v>14</v>
      </c>
      <c r="E228">
        <v>183</v>
      </c>
    </row>
    <row r="229" spans="1:5" x14ac:dyDescent="0.25">
      <c r="A229" s="5" t="s">
        <v>20</v>
      </c>
      <c r="B229">
        <v>220</v>
      </c>
      <c r="D229" s="4" t="s">
        <v>14</v>
      </c>
      <c r="E229">
        <v>82</v>
      </c>
    </row>
    <row r="230" spans="1:5" x14ac:dyDescent="0.25">
      <c r="A230" s="5" t="s">
        <v>20</v>
      </c>
      <c r="B230">
        <v>1604</v>
      </c>
      <c r="D230" s="4" t="s">
        <v>14</v>
      </c>
      <c r="E230">
        <v>1</v>
      </c>
    </row>
    <row r="231" spans="1:5" x14ac:dyDescent="0.25">
      <c r="A231" s="5" t="s">
        <v>20</v>
      </c>
      <c r="B231">
        <v>454</v>
      </c>
      <c r="D231" s="4" t="s">
        <v>14</v>
      </c>
      <c r="E231">
        <v>1198</v>
      </c>
    </row>
    <row r="232" spans="1:5" x14ac:dyDescent="0.25">
      <c r="A232" s="5" t="s">
        <v>20</v>
      </c>
      <c r="B232">
        <v>123</v>
      </c>
      <c r="D232" s="4" t="s">
        <v>14</v>
      </c>
      <c r="E232">
        <v>648</v>
      </c>
    </row>
    <row r="233" spans="1:5" x14ac:dyDescent="0.25">
      <c r="A233" s="5" t="s">
        <v>20</v>
      </c>
      <c r="B233">
        <v>299</v>
      </c>
      <c r="D233" s="4" t="s">
        <v>14</v>
      </c>
      <c r="E233">
        <v>64</v>
      </c>
    </row>
    <row r="234" spans="1:5" x14ac:dyDescent="0.25">
      <c r="A234" s="5" t="s">
        <v>20</v>
      </c>
      <c r="B234">
        <v>2237</v>
      </c>
      <c r="D234" s="4" t="s">
        <v>14</v>
      </c>
      <c r="E234">
        <v>62</v>
      </c>
    </row>
    <row r="235" spans="1:5" x14ac:dyDescent="0.25">
      <c r="A235" s="5" t="s">
        <v>20</v>
      </c>
      <c r="B235">
        <v>645</v>
      </c>
      <c r="D235" s="4" t="s">
        <v>14</v>
      </c>
      <c r="E235">
        <v>750</v>
      </c>
    </row>
    <row r="236" spans="1:5" x14ac:dyDescent="0.25">
      <c r="A236" s="5" t="s">
        <v>20</v>
      </c>
      <c r="B236">
        <v>484</v>
      </c>
      <c r="D236" s="4" t="s">
        <v>14</v>
      </c>
      <c r="E236">
        <v>105</v>
      </c>
    </row>
    <row r="237" spans="1:5" x14ac:dyDescent="0.25">
      <c r="A237" s="5" t="s">
        <v>20</v>
      </c>
      <c r="B237">
        <v>154</v>
      </c>
      <c r="D237" s="4" t="s">
        <v>14</v>
      </c>
      <c r="E237">
        <v>2604</v>
      </c>
    </row>
    <row r="238" spans="1:5" x14ac:dyDescent="0.25">
      <c r="A238" s="5" t="s">
        <v>20</v>
      </c>
      <c r="B238">
        <v>82</v>
      </c>
      <c r="D238" s="4" t="s">
        <v>14</v>
      </c>
      <c r="E238">
        <v>65</v>
      </c>
    </row>
    <row r="239" spans="1:5" x14ac:dyDescent="0.25">
      <c r="A239" s="5" t="s">
        <v>20</v>
      </c>
      <c r="B239">
        <v>134</v>
      </c>
      <c r="D239" s="4" t="s">
        <v>14</v>
      </c>
      <c r="E239">
        <v>94</v>
      </c>
    </row>
    <row r="240" spans="1:5" x14ac:dyDescent="0.25">
      <c r="A240" s="5" t="s">
        <v>20</v>
      </c>
      <c r="B240">
        <v>5203</v>
      </c>
      <c r="D240" s="4" t="s">
        <v>14</v>
      </c>
      <c r="E240">
        <v>257</v>
      </c>
    </row>
    <row r="241" spans="1:5" x14ac:dyDescent="0.25">
      <c r="A241" s="5" t="s">
        <v>20</v>
      </c>
      <c r="B241">
        <v>94</v>
      </c>
      <c r="D241" s="4" t="s">
        <v>14</v>
      </c>
      <c r="E241">
        <v>2928</v>
      </c>
    </row>
    <row r="242" spans="1:5" x14ac:dyDescent="0.25">
      <c r="A242" s="5" t="s">
        <v>20</v>
      </c>
      <c r="B242">
        <v>205</v>
      </c>
      <c r="D242" s="4" t="s">
        <v>14</v>
      </c>
      <c r="E242">
        <v>4697</v>
      </c>
    </row>
    <row r="243" spans="1:5" x14ac:dyDescent="0.25">
      <c r="A243" s="5" t="s">
        <v>20</v>
      </c>
      <c r="B243">
        <v>92</v>
      </c>
      <c r="D243" s="4" t="s">
        <v>14</v>
      </c>
      <c r="E243">
        <v>2915</v>
      </c>
    </row>
    <row r="244" spans="1:5" x14ac:dyDescent="0.25">
      <c r="A244" s="5" t="s">
        <v>20</v>
      </c>
      <c r="B244">
        <v>219</v>
      </c>
      <c r="D244" s="4" t="s">
        <v>14</v>
      </c>
      <c r="E244">
        <v>18</v>
      </c>
    </row>
    <row r="245" spans="1:5" x14ac:dyDescent="0.25">
      <c r="A245" s="5" t="s">
        <v>20</v>
      </c>
      <c r="B245">
        <v>2526</v>
      </c>
      <c r="D245" s="4" t="s">
        <v>14</v>
      </c>
      <c r="E245">
        <v>602</v>
      </c>
    </row>
    <row r="246" spans="1:5" x14ac:dyDescent="0.25">
      <c r="A246" s="5" t="s">
        <v>20</v>
      </c>
      <c r="B246">
        <v>94</v>
      </c>
      <c r="D246" s="4" t="s">
        <v>14</v>
      </c>
      <c r="E246">
        <v>1</v>
      </c>
    </row>
    <row r="247" spans="1:5" x14ac:dyDescent="0.25">
      <c r="A247" s="5" t="s">
        <v>20</v>
      </c>
      <c r="B247">
        <v>1713</v>
      </c>
      <c r="D247" s="4" t="s">
        <v>14</v>
      </c>
      <c r="E247">
        <v>3868</v>
      </c>
    </row>
    <row r="248" spans="1:5" x14ac:dyDescent="0.25">
      <c r="A248" s="5" t="s">
        <v>20</v>
      </c>
      <c r="B248">
        <v>249</v>
      </c>
      <c r="D248" s="4" t="s">
        <v>14</v>
      </c>
      <c r="E248">
        <v>504</v>
      </c>
    </row>
    <row r="249" spans="1:5" x14ac:dyDescent="0.25">
      <c r="A249" s="5" t="s">
        <v>20</v>
      </c>
      <c r="B249">
        <v>192</v>
      </c>
      <c r="D249" s="4" t="s">
        <v>14</v>
      </c>
      <c r="E249">
        <v>14</v>
      </c>
    </row>
    <row r="250" spans="1:5" x14ac:dyDescent="0.25">
      <c r="A250" s="5" t="s">
        <v>20</v>
      </c>
      <c r="B250">
        <v>247</v>
      </c>
      <c r="D250" s="4" t="s">
        <v>14</v>
      </c>
      <c r="E250">
        <v>750</v>
      </c>
    </row>
    <row r="251" spans="1:5" x14ac:dyDescent="0.25">
      <c r="A251" s="5" t="s">
        <v>20</v>
      </c>
      <c r="B251">
        <v>2293</v>
      </c>
      <c r="D251" s="4" t="s">
        <v>14</v>
      </c>
      <c r="E251">
        <v>77</v>
      </c>
    </row>
    <row r="252" spans="1:5" x14ac:dyDescent="0.25">
      <c r="A252" s="5" t="s">
        <v>20</v>
      </c>
      <c r="B252">
        <v>3131</v>
      </c>
      <c r="D252" s="4" t="s">
        <v>14</v>
      </c>
      <c r="E252">
        <v>752</v>
      </c>
    </row>
    <row r="253" spans="1:5" x14ac:dyDescent="0.25">
      <c r="A253" s="5" t="s">
        <v>20</v>
      </c>
      <c r="B253">
        <v>143</v>
      </c>
      <c r="D253" s="4" t="s">
        <v>14</v>
      </c>
      <c r="E253">
        <v>131</v>
      </c>
    </row>
    <row r="254" spans="1:5" x14ac:dyDescent="0.25">
      <c r="A254" s="5" t="s">
        <v>20</v>
      </c>
      <c r="B254">
        <v>296</v>
      </c>
      <c r="D254" s="4" t="s">
        <v>14</v>
      </c>
      <c r="E254">
        <v>87</v>
      </c>
    </row>
    <row r="255" spans="1:5" x14ac:dyDescent="0.25">
      <c r="A255" s="5" t="s">
        <v>20</v>
      </c>
      <c r="B255">
        <v>170</v>
      </c>
      <c r="D255" s="4" t="s">
        <v>14</v>
      </c>
      <c r="E255">
        <v>1063</v>
      </c>
    </row>
    <row r="256" spans="1:5" x14ac:dyDescent="0.25">
      <c r="A256" s="5" t="s">
        <v>20</v>
      </c>
      <c r="B256">
        <v>86</v>
      </c>
      <c r="D256" s="4" t="s">
        <v>14</v>
      </c>
      <c r="E256">
        <v>76</v>
      </c>
    </row>
    <row r="257" spans="1:5" x14ac:dyDescent="0.25">
      <c r="A257" s="5" t="s">
        <v>20</v>
      </c>
      <c r="B257">
        <v>6286</v>
      </c>
      <c r="D257" s="4" t="s">
        <v>14</v>
      </c>
      <c r="E257">
        <v>4428</v>
      </c>
    </row>
    <row r="258" spans="1:5" x14ac:dyDescent="0.25">
      <c r="A258" s="5" t="s">
        <v>20</v>
      </c>
      <c r="B258">
        <v>3727</v>
      </c>
      <c r="D258" s="4" t="s">
        <v>14</v>
      </c>
      <c r="E258">
        <v>58</v>
      </c>
    </row>
    <row r="259" spans="1:5" x14ac:dyDescent="0.25">
      <c r="A259" s="5" t="s">
        <v>20</v>
      </c>
      <c r="B259">
        <v>1605</v>
      </c>
      <c r="D259" s="4" t="s">
        <v>14</v>
      </c>
      <c r="E259">
        <v>111</v>
      </c>
    </row>
    <row r="260" spans="1:5" x14ac:dyDescent="0.25">
      <c r="A260" s="5" t="s">
        <v>20</v>
      </c>
      <c r="B260">
        <v>2120</v>
      </c>
      <c r="D260" s="4" t="s">
        <v>14</v>
      </c>
      <c r="E260">
        <v>2955</v>
      </c>
    </row>
    <row r="261" spans="1:5" x14ac:dyDescent="0.25">
      <c r="A261" s="5" t="s">
        <v>20</v>
      </c>
      <c r="B261">
        <v>50</v>
      </c>
      <c r="D261" s="4" t="s">
        <v>14</v>
      </c>
      <c r="E261">
        <v>1657</v>
      </c>
    </row>
    <row r="262" spans="1:5" x14ac:dyDescent="0.25">
      <c r="A262" s="5" t="s">
        <v>20</v>
      </c>
      <c r="B262">
        <v>2080</v>
      </c>
      <c r="D262" s="4" t="s">
        <v>14</v>
      </c>
      <c r="E262">
        <v>926</v>
      </c>
    </row>
    <row r="263" spans="1:5" x14ac:dyDescent="0.25">
      <c r="A263" s="5" t="s">
        <v>20</v>
      </c>
      <c r="B263">
        <v>2105</v>
      </c>
      <c r="D263" s="4" t="s">
        <v>14</v>
      </c>
      <c r="E263">
        <v>77</v>
      </c>
    </row>
    <row r="264" spans="1:5" x14ac:dyDescent="0.25">
      <c r="A264" s="5" t="s">
        <v>20</v>
      </c>
      <c r="B264">
        <v>2436</v>
      </c>
      <c r="D264" s="4" t="s">
        <v>14</v>
      </c>
      <c r="E264">
        <v>1748</v>
      </c>
    </row>
    <row r="265" spans="1:5" x14ac:dyDescent="0.25">
      <c r="A265" s="5" t="s">
        <v>20</v>
      </c>
      <c r="B265">
        <v>80</v>
      </c>
      <c r="D265" s="4" t="s">
        <v>14</v>
      </c>
      <c r="E265">
        <v>79</v>
      </c>
    </row>
    <row r="266" spans="1:5" x14ac:dyDescent="0.25">
      <c r="A266" s="5" t="s">
        <v>20</v>
      </c>
      <c r="B266">
        <v>42</v>
      </c>
      <c r="D266" s="4" t="s">
        <v>14</v>
      </c>
      <c r="E266">
        <v>889</v>
      </c>
    </row>
    <row r="267" spans="1:5" x14ac:dyDescent="0.25">
      <c r="A267" s="5" t="s">
        <v>20</v>
      </c>
      <c r="B267">
        <v>139</v>
      </c>
      <c r="D267" s="4" t="s">
        <v>14</v>
      </c>
      <c r="E267">
        <v>56</v>
      </c>
    </row>
    <row r="268" spans="1:5" x14ac:dyDescent="0.25">
      <c r="A268" s="5" t="s">
        <v>20</v>
      </c>
      <c r="B268">
        <v>159</v>
      </c>
      <c r="D268" s="4" t="s">
        <v>14</v>
      </c>
      <c r="E268">
        <v>1</v>
      </c>
    </row>
    <row r="269" spans="1:5" x14ac:dyDescent="0.25">
      <c r="A269" s="5" t="s">
        <v>20</v>
      </c>
      <c r="B269">
        <v>381</v>
      </c>
      <c r="D269" s="4" t="s">
        <v>14</v>
      </c>
      <c r="E269">
        <v>83</v>
      </c>
    </row>
    <row r="270" spans="1:5" x14ac:dyDescent="0.25">
      <c r="A270" s="5" t="s">
        <v>20</v>
      </c>
      <c r="B270">
        <v>194</v>
      </c>
      <c r="D270" s="4" t="s">
        <v>14</v>
      </c>
      <c r="E270">
        <v>2025</v>
      </c>
    </row>
    <row r="271" spans="1:5" x14ac:dyDescent="0.25">
      <c r="A271" s="5" t="s">
        <v>20</v>
      </c>
      <c r="B271">
        <v>106</v>
      </c>
      <c r="D271" s="4" t="s">
        <v>14</v>
      </c>
      <c r="E271">
        <v>14</v>
      </c>
    </row>
    <row r="272" spans="1:5" x14ac:dyDescent="0.25">
      <c r="A272" s="5" t="s">
        <v>20</v>
      </c>
      <c r="B272">
        <v>142</v>
      </c>
      <c r="D272" s="4" t="s">
        <v>14</v>
      </c>
      <c r="E272">
        <v>656</v>
      </c>
    </row>
    <row r="273" spans="1:5" x14ac:dyDescent="0.25">
      <c r="A273" s="5" t="s">
        <v>20</v>
      </c>
      <c r="B273">
        <v>211</v>
      </c>
      <c r="D273" s="4" t="s">
        <v>14</v>
      </c>
      <c r="E273">
        <v>1596</v>
      </c>
    </row>
    <row r="274" spans="1:5" x14ac:dyDescent="0.25">
      <c r="A274" s="5" t="s">
        <v>20</v>
      </c>
      <c r="B274">
        <v>2756</v>
      </c>
      <c r="D274" s="4" t="s">
        <v>14</v>
      </c>
      <c r="E274">
        <v>10</v>
      </c>
    </row>
    <row r="275" spans="1:5" x14ac:dyDescent="0.25">
      <c r="A275" s="5" t="s">
        <v>20</v>
      </c>
      <c r="B275">
        <v>173</v>
      </c>
      <c r="D275" s="4" t="s">
        <v>14</v>
      </c>
      <c r="E275">
        <v>1121</v>
      </c>
    </row>
    <row r="276" spans="1:5" x14ac:dyDescent="0.25">
      <c r="A276" s="5" t="s">
        <v>20</v>
      </c>
      <c r="B276">
        <v>87</v>
      </c>
      <c r="D276" s="4" t="s">
        <v>14</v>
      </c>
      <c r="E276">
        <v>15</v>
      </c>
    </row>
    <row r="277" spans="1:5" x14ac:dyDescent="0.25">
      <c r="A277" s="5" t="s">
        <v>20</v>
      </c>
      <c r="B277">
        <v>1572</v>
      </c>
      <c r="D277" s="4" t="s">
        <v>14</v>
      </c>
      <c r="E277">
        <v>191</v>
      </c>
    </row>
    <row r="278" spans="1:5" x14ac:dyDescent="0.25">
      <c r="A278" s="5" t="s">
        <v>20</v>
      </c>
      <c r="B278">
        <v>2346</v>
      </c>
      <c r="D278" s="4" t="s">
        <v>14</v>
      </c>
      <c r="E278">
        <v>16</v>
      </c>
    </row>
    <row r="279" spans="1:5" x14ac:dyDescent="0.25">
      <c r="A279" s="5" t="s">
        <v>20</v>
      </c>
      <c r="B279">
        <v>115</v>
      </c>
      <c r="D279" s="4" t="s">
        <v>14</v>
      </c>
      <c r="E279">
        <v>17</v>
      </c>
    </row>
    <row r="280" spans="1:5" x14ac:dyDescent="0.25">
      <c r="A280" s="5" t="s">
        <v>20</v>
      </c>
      <c r="B280">
        <v>85</v>
      </c>
      <c r="D280" s="4" t="s">
        <v>14</v>
      </c>
      <c r="E280">
        <v>34</v>
      </c>
    </row>
    <row r="281" spans="1:5" x14ac:dyDescent="0.25">
      <c r="A281" s="5" t="s">
        <v>20</v>
      </c>
      <c r="B281">
        <v>144</v>
      </c>
      <c r="D281" s="4" t="s">
        <v>14</v>
      </c>
      <c r="E281">
        <v>1</v>
      </c>
    </row>
    <row r="282" spans="1:5" x14ac:dyDescent="0.25">
      <c r="A282" s="5" t="s">
        <v>20</v>
      </c>
      <c r="B282">
        <v>2443</v>
      </c>
      <c r="D282" s="4" t="s">
        <v>14</v>
      </c>
      <c r="E282">
        <v>1274</v>
      </c>
    </row>
    <row r="283" spans="1:5" x14ac:dyDescent="0.25">
      <c r="A283" s="5" t="s">
        <v>20</v>
      </c>
      <c r="B283">
        <v>64</v>
      </c>
      <c r="D283" s="4" t="s">
        <v>14</v>
      </c>
      <c r="E283">
        <v>210</v>
      </c>
    </row>
    <row r="284" spans="1:5" x14ac:dyDescent="0.25">
      <c r="A284" s="5" t="s">
        <v>20</v>
      </c>
      <c r="B284">
        <v>268</v>
      </c>
      <c r="D284" s="4" t="s">
        <v>14</v>
      </c>
      <c r="E284">
        <v>248</v>
      </c>
    </row>
    <row r="285" spans="1:5" x14ac:dyDescent="0.25">
      <c r="A285" s="5" t="s">
        <v>20</v>
      </c>
      <c r="B285">
        <v>195</v>
      </c>
      <c r="D285" s="4" t="s">
        <v>14</v>
      </c>
      <c r="E285">
        <v>513</v>
      </c>
    </row>
    <row r="286" spans="1:5" x14ac:dyDescent="0.25">
      <c r="A286" s="5" t="s">
        <v>20</v>
      </c>
      <c r="B286">
        <v>186</v>
      </c>
      <c r="D286" s="4" t="s">
        <v>14</v>
      </c>
      <c r="E286">
        <v>3410</v>
      </c>
    </row>
    <row r="287" spans="1:5" x14ac:dyDescent="0.25">
      <c r="A287" s="5" t="s">
        <v>20</v>
      </c>
      <c r="B287">
        <v>460</v>
      </c>
      <c r="D287" s="4" t="s">
        <v>14</v>
      </c>
      <c r="E287">
        <v>10</v>
      </c>
    </row>
    <row r="288" spans="1:5" x14ac:dyDescent="0.25">
      <c r="A288" s="5" t="s">
        <v>20</v>
      </c>
      <c r="B288">
        <v>2528</v>
      </c>
      <c r="D288" s="4" t="s">
        <v>14</v>
      </c>
      <c r="E288">
        <v>2201</v>
      </c>
    </row>
    <row r="289" spans="1:5" x14ac:dyDescent="0.25">
      <c r="A289" s="5" t="s">
        <v>20</v>
      </c>
      <c r="B289">
        <v>3657</v>
      </c>
      <c r="D289" s="4" t="s">
        <v>14</v>
      </c>
      <c r="E289">
        <v>676</v>
      </c>
    </row>
    <row r="290" spans="1:5" x14ac:dyDescent="0.25">
      <c r="A290" s="5" t="s">
        <v>20</v>
      </c>
      <c r="B290">
        <v>131</v>
      </c>
      <c r="D290" s="4" t="s">
        <v>14</v>
      </c>
      <c r="E290">
        <v>831</v>
      </c>
    </row>
    <row r="291" spans="1:5" x14ac:dyDescent="0.25">
      <c r="A291" s="5" t="s">
        <v>20</v>
      </c>
      <c r="B291">
        <v>239</v>
      </c>
      <c r="D291" s="4" t="s">
        <v>14</v>
      </c>
      <c r="E291">
        <v>859</v>
      </c>
    </row>
    <row r="292" spans="1:5" x14ac:dyDescent="0.25">
      <c r="A292" s="5" t="s">
        <v>20</v>
      </c>
      <c r="B292">
        <v>78</v>
      </c>
      <c r="D292" s="4" t="s">
        <v>14</v>
      </c>
      <c r="E292">
        <v>45</v>
      </c>
    </row>
    <row r="293" spans="1:5" x14ac:dyDescent="0.25">
      <c r="A293" s="5" t="s">
        <v>20</v>
      </c>
      <c r="B293">
        <v>1773</v>
      </c>
      <c r="D293" s="4" t="s">
        <v>14</v>
      </c>
      <c r="E293">
        <v>6</v>
      </c>
    </row>
    <row r="294" spans="1:5" x14ac:dyDescent="0.25">
      <c r="A294" s="5" t="s">
        <v>20</v>
      </c>
      <c r="B294">
        <v>32</v>
      </c>
      <c r="D294" s="4" t="s">
        <v>14</v>
      </c>
      <c r="E294">
        <v>7</v>
      </c>
    </row>
    <row r="295" spans="1:5" x14ac:dyDescent="0.25">
      <c r="A295" s="5" t="s">
        <v>20</v>
      </c>
      <c r="B295">
        <v>369</v>
      </c>
      <c r="D295" s="4" t="s">
        <v>14</v>
      </c>
      <c r="E295">
        <v>31</v>
      </c>
    </row>
    <row r="296" spans="1:5" x14ac:dyDescent="0.25">
      <c r="A296" s="5" t="s">
        <v>20</v>
      </c>
      <c r="B296">
        <v>89</v>
      </c>
      <c r="D296" s="4" t="s">
        <v>14</v>
      </c>
      <c r="E296">
        <v>78</v>
      </c>
    </row>
    <row r="297" spans="1:5" x14ac:dyDescent="0.25">
      <c r="A297" s="5" t="s">
        <v>20</v>
      </c>
      <c r="B297">
        <v>147</v>
      </c>
      <c r="D297" s="4" t="s">
        <v>14</v>
      </c>
      <c r="E297">
        <v>1225</v>
      </c>
    </row>
    <row r="298" spans="1:5" x14ac:dyDescent="0.25">
      <c r="A298" s="5" t="s">
        <v>20</v>
      </c>
      <c r="B298">
        <v>126</v>
      </c>
      <c r="D298" s="4" t="s">
        <v>14</v>
      </c>
      <c r="E298">
        <v>1</v>
      </c>
    </row>
    <row r="299" spans="1:5" x14ac:dyDescent="0.25">
      <c r="A299" s="5" t="s">
        <v>20</v>
      </c>
      <c r="B299">
        <v>2218</v>
      </c>
      <c r="D299" s="4" t="s">
        <v>14</v>
      </c>
      <c r="E299">
        <v>67</v>
      </c>
    </row>
    <row r="300" spans="1:5" x14ac:dyDescent="0.25">
      <c r="A300" s="5" t="s">
        <v>20</v>
      </c>
      <c r="B300">
        <v>202</v>
      </c>
      <c r="D300" s="4" t="s">
        <v>14</v>
      </c>
      <c r="E300">
        <v>19</v>
      </c>
    </row>
    <row r="301" spans="1:5" x14ac:dyDescent="0.25">
      <c r="A301" s="5" t="s">
        <v>20</v>
      </c>
      <c r="B301">
        <v>140</v>
      </c>
      <c r="D301" s="4" t="s">
        <v>14</v>
      </c>
      <c r="E301">
        <v>2108</v>
      </c>
    </row>
    <row r="302" spans="1:5" x14ac:dyDescent="0.25">
      <c r="A302" s="5" t="s">
        <v>20</v>
      </c>
      <c r="B302">
        <v>1052</v>
      </c>
      <c r="D302" s="4" t="s">
        <v>14</v>
      </c>
      <c r="E302">
        <v>679</v>
      </c>
    </row>
    <row r="303" spans="1:5" x14ac:dyDescent="0.25">
      <c r="A303" s="5" t="s">
        <v>20</v>
      </c>
      <c r="B303">
        <v>247</v>
      </c>
      <c r="D303" s="4" t="s">
        <v>14</v>
      </c>
      <c r="E303">
        <v>36</v>
      </c>
    </row>
    <row r="304" spans="1:5" x14ac:dyDescent="0.25">
      <c r="A304" s="5" t="s">
        <v>20</v>
      </c>
      <c r="B304">
        <v>84</v>
      </c>
      <c r="D304" s="4" t="s">
        <v>14</v>
      </c>
      <c r="E304">
        <v>47</v>
      </c>
    </row>
    <row r="305" spans="1:5" x14ac:dyDescent="0.25">
      <c r="A305" s="5" t="s">
        <v>20</v>
      </c>
      <c r="B305">
        <v>88</v>
      </c>
      <c r="D305" s="4" t="s">
        <v>14</v>
      </c>
      <c r="E305">
        <v>70</v>
      </c>
    </row>
    <row r="306" spans="1:5" x14ac:dyDescent="0.25">
      <c r="A306" s="5" t="s">
        <v>20</v>
      </c>
      <c r="B306">
        <v>156</v>
      </c>
      <c r="D306" s="4" t="s">
        <v>14</v>
      </c>
      <c r="E306">
        <v>154</v>
      </c>
    </row>
    <row r="307" spans="1:5" x14ac:dyDescent="0.25">
      <c r="A307" s="5" t="s">
        <v>20</v>
      </c>
      <c r="B307">
        <v>2985</v>
      </c>
      <c r="D307" s="4" t="s">
        <v>14</v>
      </c>
      <c r="E307">
        <v>22</v>
      </c>
    </row>
    <row r="308" spans="1:5" x14ac:dyDescent="0.25">
      <c r="A308" s="5" t="s">
        <v>20</v>
      </c>
      <c r="B308">
        <v>762</v>
      </c>
      <c r="D308" s="4" t="s">
        <v>14</v>
      </c>
      <c r="E308">
        <v>1758</v>
      </c>
    </row>
    <row r="309" spans="1:5" x14ac:dyDescent="0.25">
      <c r="A309" s="5" t="s">
        <v>20</v>
      </c>
      <c r="B309">
        <v>554</v>
      </c>
      <c r="D309" s="4" t="s">
        <v>14</v>
      </c>
      <c r="E309">
        <v>94</v>
      </c>
    </row>
    <row r="310" spans="1:5" x14ac:dyDescent="0.25">
      <c r="A310" s="5" t="s">
        <v>20</v>
      </c>
      <c r="B310">
        <v>135</v>
      </c>
      <c r="D310" s="4" t="s">
        <v>14</v>
      </c>
      <c r="E310">
        <v>33</v>
      </c>
    </row>
    <row r="311" spans="1:5" x14ac:dyDescent="0.25">
      <c r="A311" s="5" t="s">
        <v>20</v>
      </c>
      <c r="B311">
        <v>122</v>
      </c>
      <c r="D311" s="4" t="s">
        <v>14</v>
      </c>
      <c r="E311">
        <v>1</v>
      </c>
    </row>
    <row r="312" spans="1:5" x14ac:dyDescent="0.25">
      <c r="A312" s="5" t="s">
        <v>20</v>
      </c>
      <c r="B312">
        <v>221</v>
      </c>
      <c r="D312" s="4" t="s">
        <v>14</v>
      </c>
      <c r="E312">
        <v>31</v>
      </c>
    </row>
    <row r="313" spans="1:5" x14ac:dyDescent="0.25">
      <c r="A313" s="5" t="s">
        <v>20</v>
      </c>
      <c r="B313">
        <v>126</v>
      </c>
      <c r="D313" s="4" t="s">
        <v>14</v>
      </c>
      <c r="E313">
        <v>35</v>
      </c>
    </row>
    <row r="314" spans="1:5" x14ac:dyDescent="0.25">
      <c r="A314" s="5" t="s">
        <v>20</v>
      </c>
      <c r="B314">
        <v>1022</v>
      </c>
      <c r="D314" s="4" t="s">
        <v>14</v>
      </c>
      <c r="E314">
        <v>63</v>
      </c>
    </row>
    <row r="315" spans="1:5" x14ac:dyDescent="0.25">
      <c r="A315" s="5" t="s">
        <v>20</v>
      </c>
      <c r="B315">
        <v>3177</v>
      </c>
      <c r="D315" s="4" t="s">
        <v>14</v>
      </c>
      <c r="E315">
        <v>526</v>
      </c>
    </row>
    <row r="316" spans="1:5" x14ac:dyDescent="0.25">
      <c r="A316" s="5" t="s">
        <v>20</v>
      </c>
      <c r="B316">
        <v>198</v>
      </c>
      <c r="D316" s="4" t="s">
        <v>14</v>
      </c>
      <c r="E316">
        <v>121</v>
      </c>
    </row>
    <row r="317" spans="1:5" x14ac:dyDescent="0.25">
      <c r="A317" s="5" t="s">
        <v>20</v>
      </c>
      <c r="B317">
        <v>85</v>
      </c>
      <c r="D317" s="4" t="s">
        <v>14</v>
      </c>
      <c r="E317">
        <v>67</v>
      </c>
    </row>
    <row r="318" spans="1:5" x14ac:dyDescent="0.25">
      <c r="A318" s="5" t="s">
        <v>20</v>
      </c>
      <c r="B318">
        <v>3596</v>
      </c>
      <c r="D318" s="4" t="s">
        <v>14</v>
      </c>
      <c r="E318">
        <v>57</v>
      </c>
    </row>
    <row r="319" spans="1:5" x14ac:dyDescent="0.25">
      <c r="A319" s="5" t="s">
        <v>20</v>
      </c>
      <c r="B319">
        <v>244</v>
      </c>
      <c r="D319" s="4" t="s">
        <v>14</v>
      </c>
      <c r="E319">
        <v>1229</v>
      </c>
    </row>
    <row r="320" spans="1:5" x14ac:dyDescent="0.25">
      <c r="A320" s="5" t="s">
        <v>20</v>
      </c>
      <c r="B320">
        <v>5180</v>
      </c>
      <c r="D320" s="4" t="s">
        <v>14</v>
      </c>
      <c r="E320">
        <v>12</v>
      </c>
    </row>
    <row r="321" spans="1:5" x14ac:dyDescent="0.25">
      <c r="A321" s="5" t="s">
        <v>20</v>
      </c>
      <c r="B321">
        <v>589</v>
      </c>
      <c r="D321" s="4" t="s">
        <v>14</v>
      </c>
      <c r="E321">
        <v>452</v>
      </c>
    </row>
    <row r="322" spans="1:5" x14ac:dyDescent="0.25">
      <c r="A322" s="5" t="s">
        <v>20</v>
      </c>
      <c r="B322">
        <v>2725</v>
      </c>
      <c r="D322" s="4" t="s">
        <v>14</v>
      </c>
      <c r="E322">
        <v>1886</v>
      </c>
    </row>
    <row r="323" spans="1:5" x14ac:dyDescent="0.25">
      <c r="A323" s="5" t="s">
        <v>20</v>
      </c>
      <c r="B323">
        <v>300</v>
      </c>
      <c r="D323" s="4" t="s">
        <v>14</v>
      </c>
      <c r="E323">
        <v>1825</v>
      </c>
    </row>
    <row r="324" spans="1:5" x14ac:dyDescent="0.25">
      <c r="A324" s="5" t="s">
        <v>20</v>
      </c>
      <c r="B324">
        <v>144</v>
      </c>
      <c r="D324" s="4" t="s">
        <v>14</v>
      </c>
      <c r="E324">
        <v>31</v>
      </c>
    </row>
    <row r="325" spans="1:5" x14ac:dyDescent="0.25">
      <c r="A325" s="5" t="s">
        <v>20</v>
      </c>
      <c r="B325">
        <v>87</v>
      </c>
      <c r="D325" s="4" t="s">
        <v>14</v>
      </c>
      <c r="E325">
        <v>107</v>
      </c>
    </row>
    <row r="326" spans="1:5" x14ac:dyDescent="0.25">
      <c r="A326" s="5" t="s">
        <v>20</v>
      </c>
      <c r="B326">
        <v>3116</v>
      </c>
      <c r="D326" s="4" t="s">
        <v>14</v>
      </c>
      <c r="E326">
        <v>27</v>
      </c>
    </row>
    <row r="327" spans="1:5" x14ac:dyDescent="0.25">
      <c r="A327" s="5" t="s">
        <v>20</v>
      </c>
      <c r="B327">
        <v>909</v>
      </c>
      <c r="D327" s="4" t="s">
        <v>14</v>
      </c>
      <c r="E327">
        <v>1221</v>
      </c>
    </row>
    <row r="328" spans="1:5" x14ac:dyDescent="0.25">
      <c r="A328" s="5" t="s">
        <v>20</v>
      </c>
      <c r="B328">
        <v>1613</v>
      </c>
      <c r="D328" s="4" t="s">
        <v>14</v>
      </c>
      <c r="E328">
        <v>1</v>
      </c>
    </row>
    <row r="329" spans="1:5" x14ac:dyDescent="0.25">
      <c r="A329" s="5" t="s">
        <v>20</v>
      </c>
      <c r="B329">
        <v>136</v>
      </c>
      <c r="D329" s="4" t="s">
        <v>14</v>
      </c>
      <c r="E329">
        <v>16</v>
      </c>
    </row>
    <row r="330" spans="1:5" x14ac:dyDescent="0.25">
      <c r="A330" s="5" t="s">
        <v>20</v>
      </c>
      <c r="B330">
        <v>130</v>
      </c>
      <c r="D330" s="4" t="s">
        <v>14</v>
      </c>
      <c r="E330">
        <v>41</v>
      </c>
    </row>
    <row r="331" spans="1:5" x14ac:dyDescent="0.25">
      <c r="A331" s="5" t="s">
        <v>20</v>
      </c>
      <c r="B331">
        <v>102</v>
      </c>
      <c r="D331" s="4" t="s">
        <v>14</v>
      </c>
      <c r="E331">
        <v>523</v>
      </c>
    </row>
    <row r="332" spans="1:5" x14ac:dyDescent="0.25">
      <c r="A332" s="5" t="s">
        <v>20</v>
      </c>
      <c r="B332">
        <v>4006</v>
      </c>
      <c r="D332" s="4" t="s">
        <v>14</v>
      </c>
      <c r="E332">
        <v>141</v>
      </c>
    </row>
    <row r="333" spans="1:5" x14ac:dyDescent="0.25">
      <c r="A333" s="5" t="s">
        <v>20</v>
      </c>
      <c r="B333">
        <v>1629</v>
      </c>
      <c r="D333" s="4" t="s">
        <v>14</v>
      </c>
      <c r="E333">
        <v>52</v>
      </c>
    </row>
    <row r="334" spans="1:5" x14ac:dyDescent="0.25">
      <c r="A334" s="5" t="s">
        <v>20</v>
      </c>
      <c r="B334">
        <v>2188</v>
      </c>
      <c r="D334" s="4" t="s">
        <v>14</v>
      </c>
      <c r="E334">
        <v>225</v>
      </c>
    </row>
    <row r="335" spans="1:5" x14ac:dyDescent="0.25">
      <c r="A335" s="5" t="s">
        <v>20</v>
      </c>
      <c r="B335">
        <v>2409</v>
      </c>
      <c r="D335" s="4" t="s">
        <v>14</v>
      </c>
      <c r="E335">
        <v>38</v>
      </c>
    </row>
    <row r="336" spans="1:5" x14ac:dyDescent="0.25">
      <c r="A336" s="5" t="s">
        <v>20</v>
      </c>
      <c r="B336">
        <v>194</v>
      </c>
      <c r="D336" s="4" t="s">
        <v>14</v>
      </c>
      <c r="E336">
        <v>15</v>
      </c>
    </row>
    <row r="337" spans="1:5" x14ac:dyDescent="0.25">
      <c r="A337" s="5" t="s">
        <v>20</v>
      </c>
      <c r="B337">
        <v>1140</v>
      </c>
      <c r="D337" s="4" t="s">
        <v>14</v>
      </c>
      <c r="E337">
        <v>37</v>
      </c>
    </row>
    <row r="338" spans="1:5" x14ac:dyDescent="0.25">
      <c r="A338" s="5" t="s">
        <v>20</v>
      </c>
      <c r="B338">
        <v>102</v>
      </c>
      <c r="D338" s="4" t="s">
        <v>14</v>
      </c>
      <c r="E338">
        <v>112</v>
      </c>
    </row>
    <row r="339" spans="1:5" x14ac:dyDescent="0.25">
      <c r="A339" s="5" t="s">
        <v>20</v>
      </c>
      <c r="B339">
        <v>2857</v>
      </c>
      <c r="D339" s="4" t="s">
        <v>14</v>
      </c>
      <c r="E339">
        <v>21</v>
      </c>
    </row>
    <row r="340" spans="1:5" x14ac:dyDescent="0.25">
      <c r="A340" s="5" t="s">
        <v>20</v>
      </c>
      <c r="B340">
        <v>107</v>
      </c>
      <c r="D340" s="4" t="s">
        <v>14</v>
      </c>
      <c r="E340">
        <v>67</v>
      </c>
    </row>
    <row r="341" spans="1:5" x14ac:dyDescent="0.25">
      <c r="A341" s="5" t="s">
        <v>20</v>
      </c>
      <c r="B341">
        <v>160</v>
      </c>
      <c r="D341" s="4" t="s">
        <v>14</v>
      </c>
      <c r="E341">
        <v>78</v>
      </c>
    </row>
    <row r="342" spans="1:5" x14ac:dyDescent="0.25">
      <c r="A342" s="5" t="s">
        <v>20</v>
      </c>
      <c r="B342">
        <v>2230</v>
      </c>
      <c r="D342" s="4" t="s">
        <v>14</v>
      </c>
      <c r="E342">
        <v>67</v>
      </c>
    </row>
    <row r="343" spans="1:5" x14ac:dyDescent="0.25">
      <c r="A343" s="5" t="s">
        <v>20</v>
      </c>
      <c r="B343">
        <v>316</v>
      </c>
      <c r="D343" s="4" t="s">
        <v>14</v>
      </c>
      <c r="E343">
        <v>263</v>
      </c>
    </row>
    <row r="344" spans="1:5" x14ac:dyDescent="0.25">
      <c r="A344" s="5" t="s">
        <v>20</v>
      </c>
      <c r="B344">
        <v>117</v>
      </c>
      <c r="D344" s="4" t="s">
        <v>14</v>
      </c>
      <c r="E344">
        <v>1691</v>
      </c>
    </row>
    <row r="345" spans="1:5" x14ac:dyDescent="0.25">
      <c r="A345" s="5" t="s">
        <v>20</v>
      </c>
      <c r="B345">
        <v>6406</v>
      </c>
      <c r="D345" s="4" t="s">
        <v>14</v>
      </c>
      <c r="E345">
        <v>181</v>
      </c>
    </row>
    <row r="346" spans="1:5" x14ac:dyDescent="0.25">
      <c r="A346" s="5" t="s">
        <v>20</v>
      </c>
      <c r="B346">
        <v>192</v>
      </c>
      <c r="D346" s="4" t="s">
        <v>14</v>
      </c>
      <c r="E346">
        <v>13</v>
      </c>
    </row>
    <row r="347" spans="1:5" x14ac:dyDescent="0.25">
      <c r="A347" s="5" t="s">
        <v>20</v>
      </c>
      <c r="B347">
        <v>26</v>
      </c>
      <c r="D347" s="4" t="s">
        <v>14</v>
      </c>
      <c r="E347">
        <v>1</v>
      </c>
    </row>
    <row r="348" spans="1:5" x14ac:dyDescent="0.25">
      <c r="A348" s="5" t="s">
        <v>20</v>
      </c>
      <c r="B348">
        <v>723</v>
      </c>
      <c r="D348" s="4" t="s">
        <v>14</v>
      </c>
      <c r="E348">
        <v>21</v>
      </c>
    </row>
    <row r="349" spans="1:5" x14ac:dyDescent="0.25">
      <c r="A349" s="5" t="s">
        <v>20</v>
      </c>
      <c r="B349">
        <v>170</v>
      </c>
      <c r="D349" s="4" t="s">
        <v>14</v>
      </c>
      <c r="E349">
        <v>830</v>
      </c>
    </row>
    <row r="350" spans="1:5" x14ac:dyDescent="0.25">
      <c r="A350" s="5" t="s">
        <v>20</v>
      </c>
      <c r="B350">
        <v>238</v>
      </c>
      <c r="D350" s="4" t="s">
        <v>14</v>
      </c>
      <c r="E350">
        <v>130</v>
      </c>
    </row>
    <row r="351" spans="1:5" x14ac:dyDescent="0.25">
      <c r="A351" s="5" t="s">
        <v>20</v>
      </c>
      <c r="B351">
        <v>55</v>
      </c>
      <c r="D351" s="4" t="s">
        <v>14</v>
      </c>
      <c r="E351">
        <v>55</v>
      </c>
    </row>
    <row r="352" spans="1:5" x14ac:dyDescent="0.25">
      <c r="A352" s="5" t="s">
        <v>20</v>
      </c>
      <c r="B352">
        <v>128</v>
      </c>
      <c r="D352" s="4" t="s">
        <v>14</v>
      </c>
      <c r="E352">
        <v>114</v>
      </c>
    </row>
    <row r="353" spans="1:5" x14ac:dyDescent="0.25">
      <c r="A353" s="5" t="s">
        <v>20</v>
      </c>
      <c r="B353">
        <v>2144</v>
      </c>
      <c r="D353" s="4" t="s">
        <v>14</v>
      </c>
      <c r="E353">
        <v>594</v>
      </c>
    </row>
    <row r="354" spans="1:5" x14ac:dyDescent="0.25">
      <c r="A354" s="5" t="s">
        <v>20</v>
      </c>
      <c r="B354">
        <v>2693</v>
      </c>
      <c r="D354" s="4" t="s">
        <v>14</v>
      </c>
      <c r="E354">
        <v>24</v>
      </c>
    </row>
    <row r="355" spans="1:5" x14ac:dyDescent="0.25">
      <c r="A355" s="5" t="s">
        <v>20</v>
      </c>
      <c r="B355">
        <v>432</v>
      </c>
      <c r="D355" s="4" t="s">
        <v>14</v>
      </c>
      <c r="E355">
        <v>252</v>
      </c>
    </row>
    <row r="356" spans="1:5" x14ac:dyDescent="0.25">
      <c r="A356" s="5" t="s">
        <v>20</v>
      </c>
      <c r="B356">
        <v>189</v>
      </c>
      <c r="D356" s="4" t="s">
        <v>14</v>
      </c>
      <c r="E356">
        <v>67</v>
      </c>
    </row>
    <row r="357" spans="1:5" x14ac:dyDescent="0.25">
      <c r="A357" s="5" t="s">
        <v>20</v>
      </c>
      <c r="B357">
        <v>154</v>
      </c>
      <c r="D357" s="4" t="s">
        <v>14</v>
      </c>
      <c r="E357">
        <v>742</v>
      </c>
    </row>
    <row r="358" spans="1:5" x14ac:dyDescent="0.25">
      <c r="A358" s="5" t="s">
        <v>20</v>
      </c>
      <c r="B358">
        <v>96</v>
      </c>
      <c r="D358" s="4" t="s">
        <v>14</v>
      </c>
      <c r="E358">
        <v>75</v>
      </c>
    </row>
    <row r="359" spans="1:5" x14ac:dyDescent="0.25">
      <c r="A359" s="5" t="s">
        <v>20</v>
      </c>
      <c r="B359">
        <v>3063</v>
      </c>
      <c r="D359" s="4" t="s">
        <v>14</v>
      </c>
      <c r="E359">
        <v>4405</v>
      </c>
    </row>
    <row r="360" spans="1:5" x14ac:dyDescent="0.25">
      <c r="A360" s="5" t="s">
        <v>20</v>
      </c>
      <c r="B360">
        <v>2266</v>
      </c>
      <c r="D360" s="4" t="s">
        <v>14</v>
      </c>
      <c r="E360">
        <v>92</v>
      </c>
    </row>
    <row r="361" spans="1:5" x14ac:dyDescent="0.25">
      <c r="A361" s="5" t="s">
        <v>20</v>
      </c>
      <c r="B361">
        <v>194</v>
      </c>
      <c r="D361" s="4" t="s">
        <v>14</v>
      </c>
      <c r="E361">
        <v>64</v>
      </c>
    </row>
    <row r="362" spans="1:5" x14ac:dyDescent="0.25">
      <c r="A362" s="5" t="s">
        <v>20</v>
      </c>
      <c r="B362">
        <v>129</v>
      </c>
      <c r="D362" s="4" t="s">
        <v>14</v>
      </c>
      <c r="E362">
        <v>64</v>
      </c>
    </row>
    <row r="363" spans="1:5" x14ac:dyDescent="0.25">
      <c r="A363" s="5" t="s">
        <v>20</v>
      </c>
      <c r="B363">
        <v>375</v>
      </c>
      <c r="D363" s="4" t="s">
        <v>14</v>
      </c>
      <c r="E363">
        <v>842</v>
      </c>
    </row>
    <row r="364" spans="1:5" x14ac:dyDescent="0.25">
      <c r="A364" s="5" t="s">
        <v>20</v>
      </c>
      <c r="B364">
        <v>409</v>
      </c>
      <c r="D364" s="4" t="s">
        <v>14</v>
      </c>
      <c r="E364">
        <v>112</v>
      </c>
    </row>
    <row r="365" spans="1:5" x14ac:dyDescent="0.25">
      <c r="A365" s="5" t="s">
        <v>20</v>
      </c>
      <c r="B365">
        <v>234</v>
      </c>
      <c r="D365" s="4" t="s">
        <v>14</v>
      </c>
      <c r="E365">
        <v>374</v>
      </c>
    </row>
    <row r="366" spans="1:5" x14ac:dyDescent="0.25">
      <c r="A366" s="5" t="s">
        <v>20</v>
      </c>
      <c r="B366">
        <v>3016</v>
      </c>
    </row>
    <row r="367" spans="1:5" x14ac:dyDescent="0.25">
      <c r="A367" s="5" t="s">
        <v>20</v>
      </c>
      <c r="B367">
        <v>264</v>
      </c>
    </row>
    <row r="368" spans="1:5" x14ac:dyDescent="0.25">
      <c r="A368" s="5" t="s">
        <v>20</v>
      </c>
      <c r="B368">
        <v>272</v>
      </c>
    </row>
    <row r="369" spans="1:2" x14ac:dyDescent="0.25">
      <c r="A369" s="5" t="s">
        <v>20</v>
      </c>
      <c r="B369">
        <v>419</v>
      </c>
    </row>
    <row r="370" spans="1:2" x14ac:dyDescent="0.25">
      <c r="A370" s="5" t="s">
        <v>20</v>
      </c>
      <c r="B370">
        <v>1621</v>
      </c>
    </row>
    <row r="371" spans="1:2" x14ac:dyDescent="0.25">
      <c r="A371" s="5" t="s">
        <v>20</v>
      </c>
      <c r="B371">
        <v>1101</v>
      </c>
    </row>
    <row r="372" spans="1:2" x14ac:dyDescent="0.25">
      <c r="A372" s="5" t="s">
        <v>20</v>
      </c>
      <c r="B372">
        <v>1073</v>
      </c>
    </row>
    <row r="373" spans="1:2" x14ac:dyDescent="0.25">
      <c r="A373" s="5" t="s">
        <v>20</v>
      </c>
      <c r="B373">
        <v>331</v>
      </c>
    </row>
    <row r="374" spans="1:2" x14ac:dyDescent="0.25">
      <c r="A374" s="5" t="s">
        <v>20</v>
      </c>
      <c r="B374">
        <v>1170</v>
      </c>
    </row>
    <row r="375" spans="1:2" x14ac:dyDescent="0.25">
      <c r="A375" s="5" t="s">
        <v>20</v>
      </c>
      <c r="B375">
        <v>363</v>
      </c>
    </row>
    <row r="376" spans="1:2" x14ac:dyDescent="0.25">
      <c r="A376" s="5" t="s">
        <v>20</v>
      </c>
      <c r="B376">
        <v>103</v>
      </c>
    </row>
    <row r="377" spans="1:2" x14ac:dyDescent="0.25">
      <c r="A377" s="5" t="s">
        <v>20</v>
      </c>
      <c r="B377">
        <v>147</v>
      </c>
    </row>
    <row r="378" spans="1:2" x14ac:dyDescent="0.25">
      <c r="A378" s="5" t="s">
        <v>20</v>
      </c>
      <c r="B378">
        <v>110</v>
      </c>
    </row>
    <row r="379" spans="1:2" x14ac:dyDescent="0.25">
      <c r="A379" s="5" t="s">
        <v>20</v>
      </c>
      <c r="B379">
        <v>134</v>
      </c>
    </row>
    <row r="380" spans="1:2" x14ac:dyDescent="0.25">
      <c r="A380" s="5" t="s">
        <v>20</v>
      </c>
      <c r="B380">
        <v>269</v>
      </c>
    </row>
    <row r="381" spans="1:2" x14ac:dyDescent="0.25">
      <c r="A381" s="5" t="s">
        <v>20</v>
      </c>
      <c r="B381">
        <v>175</v>
      </c>
    </row>
    <row r="382" spans="1:2" x14ac:dyDescent="0.25">
      <c r="A382" s="5" t="s">
        <v>20</v>
      </c>
      <c r="B382">
        <v>69</v>
      </c>
    </row>
    <row r="383" spans="1:2" x14ac:dyDescent="0.25">
      <c r="A383" s="5" t="s">
        <v>20</v>
      </c>
      <c r="B383">
        <v>190</v>
      </c>
    </row>
    <row r="384" spans="1:2" x14ac:dyDescent="0.25">
      <c r="A384" s="5" t="s">
        <v>20</v>
      </c>
      <c r="B384">
        <v>237</v>
      </c>
    </row>
    <row r="385" spans="1:2" x14ac:dyDescent="0.25">
      <c r="A385" s="5" t="s">
        <v>20</v>
      </c>
      <c r="B385">
        <v>196</v>
      </c>
    </row>
    <row r="386" spans="1:2" x14ac:dyDescent="0.25">
      <c r="A386" s="5" t="s">
        <v>20</v>
      </c>
      <c r="B386">
        <v>7295</v>
      </c>
    </row>
    <row r="387" spans="1:2" x14ac:dyDescent="0.25">
      <c r="A387" s="5" t="s">
        <v>20</v>
      </c>
      <c r="B387">
        <v>2893</v>
      </c>
    </row>
    <row r="388" spans="1:2" x14ac:dyDescent="0.25">
      <c r="A388" s="5" t="s">
        <v>20</v>
      </c>
      <c r="B388">
        <v>820</v>
      </c>
    </row>
    <row r="389" spans="1:2" x14ac:dyDescent="0.25">
      <c r="A389" s="5" t="s">
        <v>20</v>
      </c>
      <c r="B389">
        <v>2038</v>
      </c>
    </row>
    <row r="390" spans="1:2" x14ac:dyDescent="0.25">
      <c r="A390" s="5" t="s">
        <v>20</v>
      </c>
      <c r="B390">
        <v>116</v>
      </c>
    </row>
    <row r="391" spans="1:2" x14ac:dyDescent="0.25">
      <c r="A391" s="5" t="s">
        <v>20</v>
      </c>
      <c r="B391">
        <v>1345</v>
      </c>
    </row>
    <row r="392" spans="1:2" x14ac:dyDescent="0.25">
      <c r="A392" s="5" t="s">
        <v>20</v>
      </c>
      <c r="B392">
        <v>168</v>
      </c>
    </row>
    <row r="393" spans="1:2" x14ac:dyDescent="0.25">
      <c r="A393" s="5" t="s">
        <v>20</v>
      </c>
      <c r="B393">
        <v>137</v>
      </c>
    </row>
    <row r="394" spans="1:2" x14ac:dyDescent="0.25">
      <c r="A394" s="5" t="s">
        <v>20</v>
      </c>
      <c r="B394">
        <v>186</v>
      </c>
    </row>
    <row r="395" spans="1:2" x14ac:dyDescent="0.25">
      <c r="A395" s="5" t="s">
        <v>20</v>
      </c>
      <c r="B395">
        <v>125</v>
      </c>
    </row>
    <row r="396" spans="1:2" x14ac:dyDescent="0.25">
      <c r="A396" s="5" t="s">
        <v>20</v>
      </c>
      <c r="B396">
        <v>202</v>
      </c>
    </row>
    <row r="397" spans="1:2" x14ac:dyDescent="0.25">
      <c r="A397" s="5" t="s">
        <v>20</v>
      </c>
      <c r="B397">
        <v>103</v>
      </c>
    </row>
    <row r="398" spans="1:2" x14ac:dyDescent="0.25">
      <c r="A398" s="5" t="s">
        <v>20</v>
      </c>
      <c r="B398">
        <v>1785</v>
      </c>
    </row>
    <row r="399" spans="1:2" x14ac:dyDescent="0.25">
      <c r="A399" s="5" t="s">
        <v>20</v>
      </c>
      <c r="B399">
        <v>157</v>
      </c>
    </row>
    <row r="400" spans="1:2" x14ac:dyDescent="0.25">
      <c r="A400" s="5" t="s">
        <v>20</v>
      </c>
      <c r="B400">
        <v>555</v>
      </c>
    </row>
    <row r="401" spans="1:2" x14ac:dyDescent="0.25">
      <c r="A401" s="5" t="s">
        <v>20</v>
      </c>
      <c r="B401">
        <v>297</v>
      </c>
    </row>
    <row r="402" spans="1:2" x14ac:dyDescent="0.25">
      <c r="A402" s="5" t="s">
        <v>20</v>
      </c>
      <c r="B402">
        <v>123</v>
      </c>
    </row>
    <row r="403" spans="1:2" x14ac:dyDescent="0.25">
      <c r="A403" s="5" t="s">
        <v>20</v>
      </c>
      <c r="B403">
        <v>3036</v>
      </c>
    </row>
    <row r="404" spans="1:2" x14ac:dyDescent="0.25">
      <c r="A404" s="5" t="s">
        <v>20</v>
      </c>
      <c r="B404">
        <v>144</v>
      </c>
    </row>
    <row r="405" spans="1:2" x14ac:dyDescent="0.25">
      <c r="A405" s="5" t="s">
        <v>20</v>
      </c>
      <c r="B405">
        <v>121</v>
      </c>
    </row>
    <row r="406" spans="1:2" x14ac:dyDescent="0.25">
      <c r="A406" s="5" t="s">
        <v>20</v>
      </c>
      <c r="B406">
        <v>181</v>
      </c>
    </row>
    <row r="407" spans="1:2" x14ac:dyDescent="0.25">
      <c r="A407" s="5" t="s">
        <v>20</v>
      </c>
      <c r="B407">
        <v>122</v>
      </c>
    </row>
    <row r="408" spans="1:2" x14ac:dyDescent="0.25">
      <c r="A408" s="5" t="s">
        <v>20</v>
      </c>
      <c r="B408">
        <v>1071</v>
      </c>
    </row>
    <row r="409" spans="1:2" x14ac:dyDescent="0.25">
      <c r="A409" s="5" t="s">
        <v>20</v>
      </c>
      <c r="B409">
        <v>980</v>
      </c>
    </row>
    <row r="410" spans="1:2" x14ac:dyDescent="0.25">
      <c r="A410" s="5" t="s">
        <v>20</v>
      </c>
      <c r="B410">
        <v>536</v>
      </c>
    </row>
    <row r="411" spans="1:2" x14ac:dyDescent="0.25">
      <c r="A411" s="5" t="s">
        <v>20</v>
      </c>
      <c r="B411">
        <v>1991</v>
      </c>
    </row>
    <row r="412" spans="1:2" x14ac:dyDescent="0.25">
      <c r="A412" s="5" t="s">
        <v>20</v>
      </c>
      <c r="B412">
        <v>180</v>
      </c>
    </row>
    <row r="413" spans="1:2" x14ac:dyDescent="0.25">
      <c r="A413" s="5" t="s">
        <v>20</v>
      </c>
      <c r="B413">
        <v>130</v>
      </c>
    </row>
    <row r="414" spans="1:2" x14ac:dyDescent="0.25">
      <c r="A414" s="5" t="s">
        <v>20</v>
      </c>
      <c r="B414">
        <v>122</v>
      </c>
    </row>
    <row r="415" spans="1:2" x14ac:dyDescent="0.25">
      <c r="A415" s="5" t="s">
        <v>20</v>
      </c>
      <c r="B415">
        <v>140</v>
      </c>
    </row>
    <row r="416" spans="1:2" x14ac:dyDescent="0.25">
      <c r="A416" s="5" t="s">
        <v>20</v>
      </c>
      <c r="B416">
        <v>3388</v>
      </c>
    </row>
    <row r="417" spans="1:2" x14ac:dyDescent="0.25">
      <c r="A417" s="5" t="s">
        <v>20</v>
      </c>
      <c r="B417">
        <v>280</v>
      </c>
    </row>
    <row r="418" spans="1:2" x14ac:dyDescent="0.25">
      <c r="A418" s="5" t="s">
        <v>20</v>
      </c>
      <c r="B418">
        <v>366</v>
      </c>
    </row>
    <row r="419" spans="1:2" x14ac:dyDescent="0.25">
      <c r="A419" s="5" t="s">
        <v>20</v>
      </c>
      <c r="B419">
        <v>270</v>
      </c>
    </row>
    <row r="420" spans="1:2" x14ac:dyDescent="0.25">
      <c r="A420" s="5" t="s">
        <v>20</v>
      </c>
      <c r="B420">
        <v>137</v>
      </c>
    </row>
    <row r="421" spans="1:2" x14ac:dyDescent="0.25">
      <c r="A421" s="5" t="s">
        <v>20</v>
      </c>
      <c r="B421">
        <v>3205</v>
      </c>
    </row>
    <row r="422" spans="1:2" x14ac:dyDescent="0.25">
      <c r="A422" s="5" t="s">
        <v>20</v>
      </c>
      <c r="B422">
        <v>288</v>
      </c>
    </row>
    <row r="423" spans="1:2" x14ac:dyDescent="0.25">
      <c r="A423" s="5" t="s">
        <v>20</v>
      </c>
      <c r="B423">
        <v>148</v>
      </c>
    </row>
    <row r="424" spans="1:2" x14ac:dyDescent="0.25">
      <c r="A424" s="5" t="s">
        <v>20</v>
      </c>
      <c r="B424">
        <v>114</v>
      </c>
    </row>
    <row r="425" spans="1:2" x14ac:dyDescent="0.25">
      <c r="A425" s="5" t="s">
        <v>20</v>
      </c>
      <c r="B425">
        <v>1518</v>
      </c>
    </row>
    <row r="426" spans="1:2" x14ac:dyDescent="0.25">
      <c r="A426" s="5" t="s">
        <v>20</v>
      </c>
      <c r="B426">
        <v>166</v>
      </c>
    </row>
    <row r="427" spans="1:2" x14ac:dyDescent="0.25">
      <c r="A427" s="5" t="s">
        <v>20</v>
      </c>
      <c r="B427">
        <v>100</v>
      </c>
    </row>
    <row r="428" spans="1:2" x14ac:dyDescent="0.25">
      <c r="A428" s="5" t="s">
        <v>20</v>
      </c>
      <c r="B428">
        <v>235</v>
      </c>
    </row>
    <row r="429" spans="1:2" x14ac:dyDescent="0.25">
      <c r="A429" s="5" t="s">
        <v>20</v>
      </c>
      <c r="B429">
        <v>148</v>
      </c>
    </row>
    <row r="430" spans="1:2" x14ac:dyDescent="0.25">
      <c r="A430" s="5" t="s">
        <v>20</v>
      </c>
      <c r="B430">
        <v>198</v>
      </c>
    </row>
    <row r="431" spans="1:2" x14ac:dyDescent="0.25">
      <c r="A431" s="5" t="s">
        <v>20</v>
      </c>
      <c r="B431">
        <v>150</v>
      </c>
    </row>
    <row r="432" spans="1:2" x14ac:dyDescent="0.25">
      <c r="A432" s="5" t="s">
        <v>20</v>
      </c>
      <c r="B432">
        <v>216</v>
      </c>
    </row>
    <row r="433" spans="1:2" x14ac:dyDescent="0.25">
      <c r="A433" s="5" t="s">
        <v>20</v>
      </c>
      <c r="B433">
        <v>5139</v>
      </c>
    </row>
    <row r="434" spans="1:2" x14ac:dyDescent="0.25">
      <c r="A434" s="5" t="s">
        <v>20</v>
      </c>
      <c r="B434">
        <v>2353</v>
      </c>
    </row>
    <row r="435" spans="1:2" x14ac:dyDescent="0.25">
      <c r="A435" s="5" t="s">
        <v>20</v>
      </c>
      <c r="B435">
        <v>78</v>
      </c>
    </row>
    <row r="436" spans="1:2" x14ac:dyDescent="0.25">
      <c r="A436" s="5" t="s">
        <v>20</v>
      </c>
      <c r="B436">
        <v>174</v>
      </c>
    </row>
    <row r="437" spans="1:2" x14ac:dyDescent="0.25">
      <c r="A437" s="5" t="s">
        <v>20</v>
      </c>
      <c r="B437">
        <v>164</v>
      </c>
    </row>
    <row r="438" spans="1:2" x14ac:dyDescent="0.25">
      <c r="A438" s="5" t="s">
        <v>20</v>
      </c>
      <c r="B438">
        <v>161</v>
      </c>
    </row>
    <row r="439" spans="1:2" x14ac:dyDescent="0.25">
      <c r="A439" s="5" t="s">
        <v>20</v>
      </c>
      <c r="B439">
        <v>138</v>
      </c>
    </row>
    <row r="440" spans="1:2" x14ac:dyDescent="0.25">
      <c r="A440" s="5" t="s">
        <v>20</v>
      </c>
      <c r="B440">
        <v>3308</v>
      </c>
    </row>
    <row r="441" spans="1:2" x14ac:dyDescent="0.25">
      <c r="A441" s="5" t="s">
        <v>20</v>
      </c>
      <c r="B441">
        <v>127</v>
      </c>
    </row>
    <row r="442" spans="1:2" x14ac:dyDescent="0.25">
      <c r="A442" s="5" t="s">
        <v>20</v>
      </c>
      <c r="B442">
        <v>207</v>
      </c>
    </row>
    <row r="443" spans="1:2" x14ac:dyDescent="0.25">
      <c r="A443" s="5" t="s">
        <v>20</v>
      </c>
      <c r="B443">
        <v>181</v>
      </c>
    </row>
    <row r="444" spans="1:2" x14ac:dyDescent="0.25">
      <c r="A444" s="5" t="s">
        <v>20</v>
      </c>
      <c r="B444">
        <v>110</v>
      </c>
    </row>
    <row r="445" spans="1:2" x14ac:dyDescent="0.25">
      <c r="A445" s="5" t="s">
        <v>20</v>
      </c>
      <c r="B445">
        <v>185</v>
      </c>
    </row>
    <row r="446" spans="1:2" x14ac:dyDescent="0.25">
      <c r="A446" s="5" t="s">
        <v>20</v>
      </c>
      <c r="B446">
        <v>121</v>
      </c>
    </row>
    <row r="447" spans="1:2" x14ac:dyDescent="0.25">
      <c r="A447" s="5" t="s">
        <v>20</v>
      </c>
      <c r="B447">
        <v>106</v>
      </c>
    </row>
    <row r="448" spans="1:2" x14ac:dyDescent="0.25">
      <c r="A448" s="5" t="s">
        <v>20</v>
      </c>
      <c r="B448">
        <v>142</v>
      </c>
    </row>
    <row r="449" spans="1:2" x14ac:dyDescent="0.25">
      <c r="A449" s="5" t="s">
        <v>20</v>
      </c>
      <c r="B449">
        <v>233</v>
      </c>
    </row>
    <row r="450" spans="1:2" x14ac:dyDescent="0.25">
      <c r="A450" s="5" t="s">
        <v>20</v>
      </c>
      <c r="B450">
        <v>218</v>
      </c>
    </row>
    <row r="451" spans="1:2" x14ac:dyDescent="0.25">
      <c r="A451" s="5" t="s">
        <v>20</v>
      </c>
      <c r="B451">
        <v>76</v>
      </c>
    </row>
    <row r="452" spans="1:2" x14ac:dyDescent="0.25">
      <c r="A452" s="5" t="s">
        <v>20</v>
      </c>
      <c r="B452">
        <v>43</v>
      </c>
    </row>
    <row r="453" spans="1:2" x14ac:dyDescent="0.25">
      <c r="A453" s="5" t="s">
        <v>20</v>
      </c>
      <c r="B453">
        <v>221</v>
      </c>
    </row>
    <row r="454" spans="1:2" x14ac:dyDescent="0.25">
      <c r="A454" s="5" t="s">
        <v>20</v>
      </c>
      <c r="B454">
        <v>2805</v>
      </c>
    </row>
    <row r="455" spans="1:2" x14ac:dyDescent="0.25">
      <c r="A455" s="5" t="s">
        <v>20</v>
      </c>
      <c r="B455">
        <v>68</v>
      </c>
    </row>
    <row r="456" spans="1:2" x14ac:dyDescent="0.25">
      <c r="A456" s="5" t="s">
        <v>20</v>
      </c>
      <c r="B456">
        <v>183</v>
      </c>
    </row>
    <row r="457" spans="1:2" x14ac:dyDescent="0.25">
      <c r="A457" s="5" t="s">
        <v>20</v>
      </c>
      <c r="B457">
        <v>133</v>
      </c>
    </row>
    <row r="458" spans="1:2" x14ac:dyDescent="0.25">
      <c r="A458" s="5" t="s">
        <v>20</v>
      </c>
      <c r="B458">
        <v>2489</v>
      </c>
    </row>
    <row r="459" spans="1:2" x14ac:dyDescent="0.25">
      <c r="A459" s="5" t="s">
        <v>20</v>
      </c>
      <c r="B459">
        <v>69</v>
      </c>
    </row>
    <row r="460" spans="1:2" x14ac:dyDescent="0.25">
      <c r="A460" s="5" t="s">
        <v>20</v>
      </c>
      <c r="B460">
        <v>279</v>
      </c>
    </row>
    <row r="461" spans="1:2" x14ac:dyDescent="0.25">
      <c r="A461" s="5" t="s">
        <v>20</v>
      </c>
      <c r="B461">
        <v>210</v>
      </c>
    </row>
    <row r="462" spans="1:2" x14ac:dyDescent="0.25">
      <c r="A462" s="5" t="s">
        <v>20</v>
      </c>
      <c r="B462">
        <v>2100</v>
      </c>
    </row>
    <row r="463" spans="1:2" x14ac:dyDescent="0.25">
      <c r="A463" s="5" t="s">
        <v>20</v>
      </c>
      <c r="B463">
        <v>252</v>
      </c>
    </row>
    <row r="464" spans="1:2" x14ac:dyDescent="0.25">
      <c r="A464" s="5" t="s">
        <v>20</v>
      </c>
      <c r="B464">
        <v>1280</v>
      </c>
    </row>
    <row r="465" spans="1:2" x14ac:dyDescent="0.25">
      <c r="A465" s="5" t="s">
        <v>20</v>
      </c>
      <c r="B465">
        <v>157</v>
      </c>
    </row>
    <row r="466" spans="1:2" x14ac:dyDescent="0.25">
      <c r="A466" s="5" t="s">
        <v>20</v>
      </c>
      <c r="B466">
        <v>194</v>
      </c>
    </row>
    <row r="467" spans="1:2" x14ac:dyDescent="0.25">
      <c r="A467" s="5" t="s">
        <v>20</v>
      </c>
      <c r="B467">
        <v>82</v>
      </c>
    </row>
    <row r="468" spans="1:2" x14ac:dyDescent="0.25">
      <c r="A468" s="5" t="s">
        <v>20</v>
      </c>
      <c r="B468">
        <v>4233</v>
      </c>
    </row>
    <row r="469" spans="1:2" x14ac:dyDescent="0.25">
      <c r="A469" s="5" t="s">
        <v>20</v>
      </c>
      <c r="B469">
        <v>1297</v>
      </c>
    </row>
    <row r="470" spans="1:2" x14ac:dyDescent="0.25">
      <c r="A470" s="5" t="s">
        <v>20</v>
      </c>
      <c r="B470">
        <v>165</v>
      </c>
    </row>
    <row r="471" spans="1:2" x14ac:dyDescent="0.25">
      <c r="A471" s="5" t="s">
        <v>20</v>
      </c>
      <c r="B471">
        <v>119</v>
      </c>
    </row>
    <row r="472" spans="1:2" x14ac:dyDescent="0.25">
      <c r="A472" s="5" t="s">
        <v>20</v>
      </c>
      <c r="B472">
        <v>1797</v>
      </c>
    </row>
    <row r="473" spans="1:2" x14ac:dyDescent="0.25">
      <c r="A473" s="5" t="s">
        <v>20</v>
      </c>
      <c r="B473">
        <v>261</v>
      </c>
    </row>
    <row r="474" spans="1:2" x14ac:dyDescent="0.25">
      <c r="A474" s="5" t="s">
        <v>20</v>
      </c>
      <c r="B474">
        <v>157</v>
      </c>
    </row>
    <row r="475" spans="1:2" x14ac:dyDescent="0.25">
      <c r="A475" s="5" t="s">
        <v>20</v>
      </c>
      <c r="B475">
        <v>3533</v>
      </c>
    </row>
    <row r="476" spans="1:2" x14ac:dyDescent="0.25">
      <c r="A476" s="5" t="s">
        <v>20</v>
      </c>
      <c r="B476">
        <v>155</v>
      </c>
    </row>
    <row r="477" spans="1:2" x14ac:dyDescent="0.25">
      <c r="A477" s="5" t="s">
        <v>20</v>
      </c>
      <c r="B477">
        <v>132</v>
      </c>
    </row>
    <row r="478" spans="1:2" x14ac:dyDescent="0.25">
      <c r="A478" s="5" t="s">
        <v>20</v>
      </c>
      <c r="B478">
        <v>1354</v>
      </c>
    </row>
    <row r="479" spans="1:2" x14ac:dyDescent="0.25">
      <c r="A479" s="5" t="s">
        <v>20</v>
      </c>
      <c r="B479">
        <v>48</v>
      </c>
    </row>
    <row r="480" spans="1:2" x14ac:dyDescent="0.25">
      <c r="A480" s="5" t="s">
        <v>20</v>
      </c>
      <c r="B480">
        <v>110</v>
      </c>
    </row>
    <row r="481" spans="1:2" x14ac:dyDescent="0.25">
      <c r="A481" s="5" t="s">
        <v>20</v>
      </c>
      <c r="B481">
        <v>172</v>
      </c>
    </row>
    <row r="482" spans="1:2" x14ac:dyDescent="0.25">
      <c r="A482" s="5" t="s">
        <v>20</v>
      </c>
      <c r="B482">
        <v>307</v>
      </c>
    </row>
    <row r="483" spans="1:2" x14ac:dyDescent="0.25">
      <c r="A483" s="5" t="s">
        <v>20</v>
      </c>
      <c r="B483">
        <v>160</v>
      </c>
    </row>
    <row r="484" spans="1:2" x14ac:dyDescent="0.25">
      <c r="A484" s="5" t="s">
        <v>20</v>
      </c>
      <c r="B484">
        <v>1467</v>
      </c>
    </row>
    <row r="485" spans="1:2" x14ac:dyDescent="0.25">
      <c r="A485" s="5" t="s">
        <v>20</v>
      </c>
      <c r="B485">
        <v>2662</v>
      </c>
    </row>
    <row r="486" spans="1:2" x14ac:dyDescent="0.25">
      <c r="A486" s="5" t="s">
        <v>20</v>
      </c>
      <c r="B486">
        <v>452</v>
      </c>
    </row>
    <row r="487" spans="1:2" x14ac:dyDescent="0.25">
      <c r="A487" s="5" t="s">
        <v>20</v>
      </c>
      <c r="B487">
        <v>158</v>
      </c>
    </row>
    <row r="488" spans="1:2" x14ac:dyDescent="0.25">
      <c r="A488" s="5" t="s">
        <v>20</v>
      </c>
      <c r="B488">
        <v>225</v>
      </c>
    </row>
    <row r="489" spans="1:2" x14ac:dyDescent="0.25">
      <c r="A489" s="5" t="s">
        <v>20</v>
      </c>
      <c r="B489">
        <v>65</v>
      </c>
    </row>
    <row r="490" spans="1:2" x14ac:dyDescent="0.25">
      <c r="A490" s="5" t="s">
        <v>20</v>
      </c>
      <c r="B490">
        <v>163</v>
      </c>
    </row>
    <row r="491" spans="1:2" x14ac:dyDescent="0.25">
      <c r="A491" s="5" t="s">
        <v>20</v>
      </c>
      <c r="B491">
        <v>85</v>
      </c>
    </row>
    <row r="492" spans="1:2" x14ac:dyDescent="0.25">
      <c r="A492" s="5" t="s">
        <v>20</v>
      </c>
      <c r="B492">
        <v>217</v>
      </c>
    </row>
    <row r="493" spans="1:2" x14ac:dyDescent="0.25">
      <c r="A493" s="5" t="s">
        <v>20</v>
      </c>
      <c r="B493">
        <v>150</v>
      </c>
    </row>
    <row r="494" spans="1:2" x14ac:dyDescent="0.25">
      <c r="A494" s="5" t="s">
        <v>20</v>
      </c>
      <c r="B494">
        <v>3272</v>
      </c>
    </row>
    <row r="495" spans="1:2" x14ac:dyDescent="0.25">
      <c r="A495" s="5" t="s">
        <v>20</v>
      </c>
      <c r="B495">
        <v>300</v>
      </c>
    </row>
    <row r="496" spans="1:2" x14ac:dyDescent="0.25">
      <c r="A496" s="5" t="s">
        <v>20</v>
      </c>
      <c r="B496">
        <v>126</v>
      </c>
    </row>
    <row r="497" spans="1:2" x14ac:dyDescent="0.25">
      <c r="A497" s="5" t="s">
        <v>20</v>
      </c>
      <c r="B497">
        <v>2320</v>
      </c>
    </row>
    <row r="498" spans="1:2" x14ac:dyDescent="0.25">
      <c r="A498" s="5" t="s">
        <v>20</v>
      </c>
      <c r="B498">
        <v>81</v>
      </c>
    </row>
    <row r="499" spans="1:2" x14ac:dyDescent="0.25">
      <c r="A499" s="5" t="s">
        <v>20</v>
      </c>
      <c r="B499">
        <v>1887</v>
      </c>
    </row>
    <row r="500" spans="1:2" x14ac:dyDescent="0.25">
      <c r="A500" s="5" t="s">
        <v>20</v>
      </c>
      <c r="B500">
        <v>4358</v>
      </c>
    </row>
    <row r="501" spans="1:2" x14ac:dyDescent="0.25">
      <c r="A501" s="5" t="s">
        <v>20</v>
      </c>
      <c r="B501">
        <v>53</v>
      </c>
    </row>
    <row r="502" spans="1:2" x14ac:dyDescent="0.25">
      <c r="A502" s="5" t="s">
        <v>20</v>
      </c>
      <c r="B502">
        <v>2414</v>
      </c>
    </row>
    <row r="503" spans="1:2" x14ac:dyDescent="0.25">
      <c r="A503" s="5" t="s">
        <v>20</v>
      </c>
      <c r="B503">
        <v>80</v>
      </c>
    </row>
    <row r="504" spans="1:2" x14ac:dyDescent="0.25">
      <c r="A504" s="5" t="s">
        <v>20</v>
      </c>
      <c r="B504">
        <v>193</v>
      </c>
    </row>
    <row r="505" spans="1:2" x14ac:dyDescent="0.25">
      <c r="A505" s="5" t="s">
        <v>20</v>
      </c>
      <c r="B505">
        <v>52</v>
      </c>
    </row>
    <row r="506" spans="1:2" x14ac:dyDescent="0.25">
      <c r="A506" s="5" t="s">
        <v>20</v>
      </c>
      <c r="B506">
        <v>290</v>
      </c>
    </row>
    <row r="507" spans="1:2" x14ac:dyDescent="0.25">
      <c r="A507" s="5" t="s">
        <v>20</v>
      </c>
      <c r="B507">
        <v>122</v>
      </c>
    </row>
    <row r="508" spans="1:2" x14ac:dyDescent="0.25">
      <c r="A508" s="5" t="s">
        <v>20</v>
      </c>
      <c r="B508">
        <v>1470</v>
      </c>
    </row>
    <row r="509" spans="1:2" x14ac:dyDescent="0.25">
      <c r="A509" s="5" t="s">
        <v>20</v>
      </c>
      <c r="B509">
        <v>165</v>
      </c>
    </row>
    <row r="510" spans="1:2" x14ac:dyDescent="0.25">
      <c r="A510" s="5" t="s">
        <v>20</v>
      </c>
      <c r="B510">
        <v>182</v>
      </c>
    </row>
    <row r="511" spans="1:2" x14ac:dyDescent="0.25">
      <c r="A511" s="5" t="s">
        <v>20</v>
      </c>
      <c r="B511">
        <v>199</v>
      </c>
    </row>
    <row r="512" spans="1:2" x14ac:dyDescent="0.25">
      <c r="A512" s="5" t="s">
        <v>20</v>
      </c>
      <c r="B512">
        <v>56</v>
      </c>
    </row>
    <row r="513" spans="1:2" x14ac:dyDescent="0.25">
      <c r="A513" s="5" t="s">
        <v>20</v>
      </c>
      <c r="B513">
        <v>1460</v>
      </c>
    </row>
    <row r="514" spans="1:2" x14ac:dyDescent="0.25">
      <c r="A514" s="5" t="s">
        <v>20</v>
      </c>
      <c r="B514">
        <v>123</v>
      </c>
    </row>
    <row r="515" spans="1:2" x14ac:dyDescent="0.25">
      <c r="A515" s="5" t="s">
        <v>20</v>
      </c>
      <c r="B515">
        <v>159</v>
      </c>
    </row>
    <row r="516" spans="1:2" x14ac:dyDescent="0.25">
      <c r="A516" s="5" t="s">
        <v>20</v>
      </c>
      <c r="B516">
        <v>110</v>
      </c>
    </row>
    <row r="517" spans="1:2" x14ac:dyDescent="0.25">
      <c r="A517" s="5" t="s">
        <v>20</v>
      </c>
      <c r="B517">
        <v>236</v>
      </c>
    </row>
    <row r="518" spans="1:2" x14ac:dyDescent="0.25">
      <c r="A518" s="5" t="s">
        <v>20</v>
      </c>
      <c r="B518">
        <v>191</v>
      </c>
    </row>
    <row r="519" spans="1:2" x14ac:dyDescent="0.25">
      <c r="A519" s="5" t="s">
        <v>20</v>
      </c>
      <c r="B519">
        <v>3934</v>
      </c>
    </row>
    <row r="520" spans="1:2" x14ac:dyDescent="0.25">
      <c r="A520" s="5" t="s">
        <v>20</v>
      </c>
      <c r="B520">
        <v>80</v>
      </c>
    </row>
    <row r="521" spans="1:2" x14ac:dyDescent="0.25">
      <c r="A521" s="5" t="s">
        <v>20</v>
      </c>
      <c r="B521">
        <v>462</v>
      </c>
    </row>
    <row r="522" spans="1:2" x14ac:dyDescent="0.25">
      <c r="A522" s="5" t="s">
        <v>20</v>
      </c>
      <c r="B522">
        <v>179</v>
      </c>
    </row>
    <row r="523" spans="1:2" x14ac:dyDescent="0.25">
      <c r="A523" s="5" t="s">
        <v>20</v>
      </c>
      <c r="B523">
        <v>1866</v>
      </c>
    </row>
    <row r="524" spans="1:2" x14ac:dyDescent="0.25">
      <c r="A524" s="5" t="s">
        <v>20</v>
      </c>
      <c r="B524">
        <v>156</v>
      </c>
    </row>
    <row r="525" spans="1:2" x14ac:dyDescent="0.25">
      <c r="A525" s="5" t="s">
        <v>20</v>
      </c>
      <c r="B525">
        <v>255</v>
      </c>
    </row>
    <row r="526" spans="1:2" x14ac:dyDescent="0.25">
      <c r="A526" s="5" t="s">
        <v>20</v>
      </c>
      <c r="B526">
        <v>2261</v>
      </c>
    </row>
    <row r="527" spans="1:2" x14ac:dyDescent="0.25">
      <c r="A527" s="5" t="s">
        <v>20</v>
      </c>
      <c r="B527">
        <v>40</v>
      </c>
    </row>
    <row r="528" spans="1:2" x14ac:dyDescent="0.25">
      <c r="A528" s="5" t="s">
        <v>20</v>
      </c>
      <c r="B528">
        <v>2289</v>
      </c>
    </row>
    <row r="529" spans="1:2" x14ac:dyDescent="0.25">
      <c r="A529" s="5" t="s">
        <v>20</v>
      </c>
      <c r="B529">
        <v>65</v>
      </c>
    </row>
    <row r="530" spans="1:2" x14ac:dyDescent="0.25">
      <c r="A530" s="5" t="s">
        <v>20</v>
      </c>
      <c r="B530">
        <v>3777</v>
      </c>
    </row>
    <row r="531" spans="1:2" x14ac:dyDescent="0.25">
      <c r="A531" s="5" t="s">
        <v>20</v>
      </c>
      <c r="B531">
        <v>184</v>
      </c>
    </row>
    <row r="532" spans="1:2" x14ac:dyDescent="0.25">
      <c r="A532" s="5" t="s">
        <v>20</v>
      </c>
      <c r="B532">
        <v>85</v>
      </c>
    </row>
    <row r="533" spans="1:2" x14ac:dyDescent="0.25">
      <c r="A533" s="5" t="s">
        <v>20</v>
      </c>
      <c r="B533">
        <v>144</v>
      </c>
    </row>
    <row r="534" spans="1:2" x14ac:dyDescent="0.25">
      <c r="A534" s="5" t="s">
        <v>20</v>
      </c>
      <c r="B534">
        <v>1902</v>
      </c>
    </row>
    <row r="535" spans="1:2" x14ac:dyDescent="0.25">
      <c r="A535" s="5" t="s">
        <v>20</v>
      </c>
      <c r="B535">
        <v>105</v>
      </c>
    </row>
    <row r="536" spans="1:2" x14ac:dyDescent="0.25">
      <c r="A536" s="5" t="s">
        <v>20</v>
      </c>
      <c r="B536">
        <v>132</v>
      </c>
    </row>
    <row r="537" spans="1:2" x14ac:dyDescent="0.25">
      <c r="A537" s="5" t="s">
        <v>20</v>
      </c>
      <c r="B537">
        <v>96</v>
      </c>
    </row>
    <row r="538" spans="1:2" x14ac:dyDescent="0.25">
      <c r="A538" s="5" t="s">
        <v>20</v>
      </c>
      <c r="B538">
        <v>114</v>
      </c>
    </row>
    <row r="539" spans="1:2" x14ac:dyDescent="0.25">
      <c r="A539" s="5" t="s">
        <v>20</v>
      </c>
      <c r="B539">
        <v>203</v>
      </c>
    </row>
    <row r="540" spans="1:2" x14ac:dyDescent="0.25">
      <c r="A540" s="5" t="s">
        <v>20</v>
      </c>
      <c r="B540">
        <v>1559</v>
      </c>
    </row>
    <row r="541" spans="1:2" x14ac:dyDescent="0.25">
      <c r="A541" s="5" t="s">
        <v>20</v>
      </c>
      <c r="B541">
        <v>1548</v>
      </c>
    </row>
    <row r="542" spans="1:2" x14ac:dyDescent="0.25">
      <c r="A542" s="5" t="s">
        <v>20</v>
      </c>
      <c r="B542">
        <v>80</v>
      </c>
    </row>
    <row r="543" spans="1:2" x14ac:dyDescent="0.25">
      <c r="A543" s="5" t="s">
        <v>20</v>
      </c>
      <c r="B543">
        <v>131</v>
      </c>
    </row>
    <row r="544" spans="1:2" x14ac:dyDescent="0.25">
      <c r="A544" s="5" t="s">
        <v>20</v>
      </c>
      <c r="B544">
        <v>112</v>
      </c>
    </row>
    <row r="545" spans="1:2" x14ac:dyDescent="0.25">
      <c r="A545" s="5" t="s">
        <v>20</v>
      </c>
      <c r="B545">
        <v>155</v>
      </c>
    </row>
    <row r="546" spans="1:2" x14ac:dyDescent="0.25">
      <c r="A546" s="5" t="s">
        <v>20</v>
      </c>
      <c r="B546">
        <v>266</v>
      </c>
    </row>
    <row r="547" spans="1:2" x14ac:dyDescent="0.25">
      <c r="A547" s="5" t="s">
        <v>20</v>
      </c>
      <c r="B547">
        <v>155</v>
      </c>
    </row>
    <row r="548" spans="1:2" x14ac:dyDescent="0.25">
      <c r="A548" s="5" t="s">
        <v>20</v>
      </c>
      <c r="B548">
        <v>207</v>
      </c>
    </row>
    <row r="549" spans="1:2" x14ac:dyDescent="0.25">
      <c r="A549" s="5" t="s">
        <v>20</v>
      </c>
      <c r="B549">
        <v>245</v>
      </c>
    </row>
    <row r="550" spans="1:2" x14ac:dyDescent="0.25">
      <c r="A550" s="5" t="s">
        <v>20</v>
      </c>
      <c r="B550">
        <v>1573</v>
      </c>
    </row>
    <row r="551" spans="1:2" x14ac:dyDescent="0.25">
      <c r="A551" s="5" t="s">
        <v>20</v>
      </c>
      <c r="B551">
        <v>114</v>
      </c>
    </row>
    <row r="552" spans="1:2" x14ac:dyDescent="0.25">
      <c r="A552" s="5" t="s">
        <v>20</v>
      </c>
      <c r="B552">
        <v>93</v>
      </c>
    </row>
    <row r="553" spans="1:2" x14ac:dyDescent="0.25">
      <c r="A553" s="5" t="s">
        <v>20</v>
      </c>
      <c r="B553">
        <v>1681</v>
      </c>
    </row>
    <row r="554" spans="1:2" x14ac:dyDescent="0.25">
      <c r="A554" s="5" t="s">
        <v>20</v>
      </c>
      <c r="B554">
        <v>32</v>
      </c>
    </row>
    <row r="555" spans="1:2" x14ac:dyDescent="0.25">
      <c r="A555" s="5" t="s">
        <v>20</v>
      </c>
      <c r="B555">
        <v>135</v>
      </c>
    </row>
    <row r="556" spans="1:2" x14ac:dyDescent="0.25">
      <c r="A556" s="5" t="s">
        <v>20</v>
      </c>
      <c r="B556">
        <v>140</v>
      </c>
    </row>
    <row r="557" spans="1:2" x14ac:dyDescent="0.25">
      <c r="A557" s="5" t="s">
        <v>20</v>
      </c>
      <c r="B557">
        <v>92</v>
      </c>
    </row>
    <row r="558" spans="1:2" x14ac:dyDescent="0.25">
      <c r="A558" s="5" t="s">
        <v>20</v>
      </c>
      <c r="B558">
        <v>1015</v>
      </c>
    </row>
    <row r="559" spans="1:2" x14ac:dyDescent="0.25">
      <c r="A559" s="5" t="s">
        <v>20</v>
      </c>
      <c r="B559">
        <v>323</v>
      </c>
    </row>
    <row r="560" spans="1:2" x14ac:dyDescent="0.25">
      <c r="A560" s="5" t="s">
        <v>20</v>
      </c>
      <c r="B560">
        <v>2326</v>
      </c>
    </row>
    <row r="561" spans="1:2" x14ac:dyDescent="0.25">
      <c r="A561" s="5" t="s">
        <v>20</v>
      </c>
      <c r="B561">
        <v>381</v>
      </c>
    </row>
    <row r="562" spans="1:2" x14ac:dyDescent="0.25">
      <c r="A562" s="5" t="s">
        <v>20</v>
      </c>
      <c r="B562">
        <v>480</v>
      </c>
    </row>
    <row r="563" spans="1:2" x14ac:dyDescent="0.25">
      <c r="A563" s="5" t="s">
        <v>20</v>
      </c>
      <c r="B563">
        <v>226</v>
      </c>
    </row>
    <row r="564" spans="1:2" x14ac:dyDescent="0.25">
      <c r="A564" s="5" t="s">
        <v>20</v>
      </c>
      <c r="B564">
        <v>241</v>
      </c>
    </row>
    <row r="565" spans="1:2" x14ac:dyDescent="0.25">
      <c r="A565" s="5" t="s">
        <v>20</v>
      </c>
      <c r="B565">
        <v>132</v>
      </c>
    </row>
    <row r="566" spans="1:2" x14ac:dyDescent="0.25">
      <c r="A566" s="5" t="s">
        <v>20</v>
      </c>
      <c r="B566">
        <v>2043</v>
      </c>
    </row>
  </sheetData>
  <autoFilter ref="A1:B1" xr:uid="{B610B0FD-8592-441B-B3F4-1615324D8ACF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Sheet5</vt:lpstr>
      <vt:lpstr>Crowdfunding</vt:lpstr>
      <vt:lpstr>Pivot chart_Parent-category</vt:lpstr>
      <vt:lpstr>Pivot chart_Sub-category</vt:lpstr>
      <vt:lpstr>Pivot chart_Date</vt:lpstr>
      <vt:lpstr>Bonus</vt:lpstr>
      <vt:lpstr>Bonus 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mac</cp:lastModifiedBy>
  <dcterms:created xsi:type="dcterms:W3CDTF">2021-09-29T18:52:28Z</dcterms:created>
  <dcterms:modified xsi:type="dcterms:W3CDTF">2023-04-15T13:07:02Z</dcterms:modified>
</cp:coreProperties>
</file>